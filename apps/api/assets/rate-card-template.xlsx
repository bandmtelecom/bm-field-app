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c83b93ad66136ad/Documents/Texas/"/>
    </mc:Choice>
  </mc:AlternateContent>
  <xr:revisionPtr revIDLastSave="65" documentId="14_{2C7D65CB-27F9-460C-8A02-72AA51F1A545}" xr6:coauthVersionLast="47" xr6:coauthVersionMax="47" xr10:uidLastSave="{698C1B52-BC99-41AA-9CEF-AB6EEFD9088C}"/>
  <bookViews>
    <workbookView xWindow="-120" yWindow="-120" windowWidth="29040" windowHeight="15720" xr2:uid="{AEC39A49-1A5A-48E7-BDB1-E53DA5F22537}"/>
  </bookViews>
  <sheets>
    <sheet name="Rate Card" sheetId="1" r:id="rId1"/>
    <sheet name="Sheet1" sheetId="2" r:id="rId2"/>
  </sheets>
  <externalReferences>
    <externalReference r:id="rId3"/>
    <externalReference r:id="rId4"/>
  </externalReferences>
  <definedNames>
    <definedName name="_xlnm._FilterDatabase" localSheetId="0" hidden="1">'Rate Card'!$A$4:$L$256</definedName>
    <definedName name="Mistak">'[1]Drop Down List'!$C$1:$C$11</definedName>
    <definedName name="_xlnm.Print_Area" localSheetId="0">'Rate Card'!$A$1:$L$256</definedName>
    <definedName name="Vendor_Name">'[2]Drop Down List'!$C$1:$C$11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55" i="1" l="1"/>
  <c r="J255" i="1" s="1"/>
  <c r="L255" i="1" s="1"/>
  <c r="I254" i="1"/>
  <c r="J254" i="1" s="1"/>
  <c r="L254" i="1" s="1"/>
  <c r="I253" i="1"/>
  <c r="J253" i="1" s="1"/>
  <c r="L253" i="1" s="1"/>
  <c r="I252" i="1"/>
  <c r="J252" i="1" s="1"/>
  <c r="L252" i="1" s="1"/>
  <c r="I251" i="1"/>
  <c r="J251" i="1" s="1"/>
  <c r="L251" i="1" s="1"/>
  <c r="I250" i="1"/>
  <c r="J250" i="1" s="1"/>
  <c r="L250" i="1" s="1"/>
  <c r="I249" i="1"/>
  <c r="J249" i="1" s="1"/>
  <c r="L249" i="1" s="1"/>
  <c r="I248" i="1"/>
  <c r="J248" i="1" s="1"/>
  <c r="L248" i="1" s="1"/>
  <c r="I247" i="1"/>
  <c r="J247" i="1" s="1"/>
  <c r="L247" i="1" s="1"/>
  <c r="I246" i="1"/>
  <c r="J246" i="1" s="1"/>
  <c r="L246" i="1" s="1"/>
  <c r="I245" i="1"/>
  <c r="J245" i="1" s="1"/>
  <c r="L245" i="1" s="1"/>
  <c r="I244" i="1"/>
  <c r="J244" i="1" s="1"/>
  <c r="L244" i="1" s="1"/>
  <c r="I243" i="1"/>
  <c r="J243" i="1" s="1"/>
  <c r="L243" i="1" s="1"/>
  <c r="I242" i="1"/>
  <c r="J242" i="1" s="1"/>
  <c r="L242" i="1" s="1"/>
  <c r="I241" i="1"/>
  <c r="J241" i="1" s="1"/>
  <c r="L241" i="1" s="1"/>
  <c r="I240" i="1"/>
  <c r="J240" i="1" s="1"/>
  <c r="L240" i="1" s="1"/>
  <c r="I239" i="1"/>
  <c r="J239" i="1" s="1"/>
  <c r="L239" i="1" s="1"/>
  <c r="I238" i="1"/>
  <c r="J238" i="1" s="1"/>
  <c r="L238" i="1" s="1"/>
  <c r="I237" i="1"/>
  <c r="J237" i="1" s="1"/>
  <c r="L237" i="1" s="1"/>
  <c r="I236" i="1"/>
  <c r="J236" i="1" s="1"/>
  <c r="L236" i="1" s="1"/>
  <c r="I235" i="1"/>
  <c r="J235" i="1" s="1"/>
  <c r="L235" i="1" s="1"/>
  <c r="I234" i="1"/>
  <c r="J234" i="1" s="1"/>
  <c r="L234" i="1" s="1"/>
  <c r="I233" i="1"/>
  <c r="J233" i="1" s="1"/>
  <c r="L233" i="1" s="1"/>
  <c r="I232" i="1"/>
  <c r="J232" i="1" s="1"/>
  <c r="L232" i="1" s="1"/>
  <c r="I231" i="1"/>
  <c r="J231" i="1" s="1"/>
  <c r="L231" i="1" s="1"/>
  <c r="I230" i="1"/>
  <c r="J230" i="1" s="1"/>
  <c r="L230" i="1" s="1"/>
  <c r="I229" i="1"/>
  <c r="J229" i="1" s="1"/>
  <c r="L229" i="1" s="1"/>
  <c r="I228" i="1"/>
  <c r="J228" i="1" s="1"/>
  <c r="L228" i="1" s="1"/>
  <c r="I227" i="1"/>
  <c r="J227" i="1" s="1"/>
  <c r="L227" i="1" s="1"/>
  <c r="I226" i="1"/>
  <c r="J226" i="1" s="1"/>
  <c r="L226" i="1" s="1"/>
  <c r="I225" i="1"/>
  <c r="J225" i="1" s="1"/>
  <c r="L225" i="1" s="1"/>
  <c r="I224" i="1"/>
  <c r="J224" i="1" s="1"/>
  <c r="L224" i="1" s="1"/>
  <c r="I223" i="1"/>
  <c r="J223" i="1" s="1"/>
  <c r="L223" i="1" s="1"/>
  <c r="I222" i="1"/>
  <c r="J222" i="1" s="1"/>
  <c r="L222" i="1" s="1"/>
  <c r="I221" i="1"/>
  <c r="J221" i="1" s="1"/>
  <c r="L221" i="1" s="1"/>
  <c r="I220" i="1"/>
  <c r="J220" i="1" s="1"/>
  <c r="L220" i="1" s="1"/>
  <c r="I219" i="1"/>
  <c r="J219" i="1" s="1"/>
  <c r="L219" i="1" s="1"/>
  <c r="I218" i="1"/>
  <c r="J218" i="1" s="1"/>
  <c r="L218" i="1" s="1"/>
  <c r="I217" i="1"/>
  <c r="J217" i="1" s="1"/>
  <c r="L217" i="1" s="1"/>
  <c r="I216" i="1"/>
  <c r="I215" i="1"/>
  <c r="I214" i="1"/>
  <c r="J214" i="1" s="1"/>
  <c r="L214" i="1" s="1"/>
  <c r="I213" i="1"/>
  <c r="J213" i="1" s="1"/>
  <c r="L213" i="1" s="1"/>
  <c r="I212" i="1"/>
  <c r="J212" i="1" s="1"/>
  <c r="L212" i="1" s="1"/>
  <c r="I211" i="1"/>
  <c r="J211" i="1" s="1"/>
  <c r="L211" i="1" s="1"/>
  <c r="I210" i="1"/>
  <c r="J210" i="1" s="1"/>
  <c r="L210" i="1" s="1"/>
  <c r="I209" i="1"/>
  <c r="J209" i="1" s="1"/>
  <c r="L209" i="1" s="1"/>
  <c r="I208" i="1"/>
  <c r="J208" i="1" s="1"/>
  <c r="L208" i="1" s="1"/>
  <c r="I207" i="1"/>
  <c r="J207" i="1" s="1"/>
  <c r="L207" i="1" s="1"/>
  <c r="I206" i="1"/>
  <c r="I205" i="1"/>
  <c r="I204" i="1"/>
  <c r="I203" i="1"/>
  <c r="I202" i="1"/>
  <c r="I201" i="1"/>
  <c r="I200" i="1"/>
  <c r="J200" i="1" s="1"/>
  <c r="L200" i="1" s="1"/>
  <c r="I199" i="1"/>
  <c r="J199" i="1" s="1"/>
  <c r="L199" i="1" s="1"/>
  <c r="I198" i="1"/>
  <c r="J198" i="1" s="1"/>
  <c r="L198" i="1" s="1"/>
  <c r="I197" i="1"/>
  <c r="J197" i="1" s="1"/>
  <c r="L197" i="1" s="1"/>
  <c r="I196" i="1"/>
  <c r="J196" i="1" s="1"/>
  <c r="L196" i="1" s="1"/>
  <c r="I195" i="1"/>
  <c r="J195" i="1" s="1"/>
  <c r="L195" i="1" s="1"/>
  <c r="I194" i="1"/>
  <c r="J194" i="1" s="1"/>
  <c r="L194" i="1" s="1"/>
  <c r="I193" i="1"/>
  <c r="J193" i="1" s="1"/>
  <c r="L193" i="1" s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J176" i="1" s="1"/>
  <c r="L176" i="1" s="1"/>
  <c r="I175" i="1"/>
  <c r="J175" i="1" s="1"/>
  <c r="L175" i="1" s="1"/>
  <c r="I174" i="1"/>
  <c r="J174" i="1" s="1"/>
  <c r="L174" i="1" s="1"/>
  <c r="I173" i="1"/>
  <c r="J173" i="1" s="1"/>
  <c r="L173" i="1" s="1"/>
  <c r="I172" i="1"/>
  <c r="J172" i="1" s="1"/>
  <c r="L172" i="1" s="1"/>
  <c r="I171" i="1"/>
  <c r="J171" i="1" s="1"/>
  <c r="L171" i="1" s="1"/>
  <c r="I170" i="1"/>
  <c r="J170" i="1" s="1"/>
  <c r="L170" i="1" s="1"/>
  <c r="I169" i="1"/>
  <c r="J169" i="1" s="1"/>
  <c r="L169" i="1" s="1"/>
  <c r="I168" i="1"/>
  <c r="J168" i="1" s="1"/>
  <c r="L168" i="1" s="1"/>
  <c r="I167" i="1"/>
  <c r="J167" i="1" s="1"/>
  <c r="L167" i="1" s="1"/>
  <c r="I166" i="1"/>
  <c r="J166" i="1" s="1"/>
  <c r="L166" i="1" s="1"/>
  <c r="I165" i="1"/>
  <c r="J165" i="1" s="1"/>
  <c r="L165" i="1" s="1"/>
  <c r="I164" i="1"/>
  <c r="J164" i="1" s="1"/>
  <c r="L164" i="1" s="1"/>
  <c r="I163" i="1"/>
  <c r="J163" i="1" s="1"/>
  <c r="L163" i="1" s="1"/>
  <c r="I162" i="1"/>
  <c r="J162" i="1" s="1"/>
  <c r="L162" i="1" s="1"/>
  <c r="I161" i="1"/>
  <c r="J161" i="1" s="1"/>
  <c r="L161" i="1" s="1"/>
  <c r="I160" i="1"/>
  <c r="J160" i="1" s="1"/>
  <c r="L160" i="1" s="1"/>
  <c r="I159" i="1"/>
  <c r="J159" i="1" s="1"/>
  <c r="L159" i="1" s="1"/>
  <c r="I158" i="1"/>
  <c r="J158" i="1" s="1"/>
  <c r="L158" i="1" s="1"/>
  <c r="I157" i="1"/>
  <c r="J157" i="1" s="1"/>
  <c r="L157" i="1" s="1"/>
  <c r="I156" i="1"/>
  <c r="J156" i="1" s="1"/>
  <c r="L156" i="1" s="1"/>
  <c r="I155" i="1"/>
  <c r="J155" i="1" s="1"/>
  <c r="L155" i="1" s="1"/>
  <c r="I154" i="1"/>
  <c r="J154" i="1" s="1"/>
  <c r="L154" i="1" s="1"/>
  <c r="I153" i="1"/>
  <c r="J153" i="1" s="1"/>
  <c r="L153" i="1" s="1"/>
  <c r="I152" i="1"/>
  <c r="J152" i="1" s="1"/>
  <c r="L152" i="1" s="1"/>
  <c r="I151" i="1"/>
  <c r="J151" i="1" s="1"/>
  <c r="L151" i="1" s="1"/>
  <c r="I150" i="1"/>
  <c r="J150" i="1" s="1"/>
  <c r="L150" i="1" s="1"/>
  <c r="I149" i="1"/>
  <c r="J149" i="1" s="1"/>
  <c r="L149" i="1" s="1"/>
  <c r="I148" i="1"/>
  <c r="J148" i="1" s="1"/>
  <c r="L148" i="1" s="1"/>
  <c r="I147" i="1"/>
  <c r="J147" i="1" s="1"/>
  <c r="L147" i="1" s="1"/>
  <c r="I146" i="1"/>
  <c r="J146" i="1" s="1"/>
  <c r="L146" i="1" s="1"/>
  <c r="I145" i="1"/>
  <c r="J145" i="1" s="1"/>
  <c r="L145" i="1" s="1"/>
  <c r="I144" i="1"/>
  <c r="J144" i="1" s="1"/>
  <c r="L144" i="1" s="1"/>
  <c r="I143" i="1"/>
  <c r="J143" i="1" s="1"/>
  <c r="L143" i="1" s="1"/>
  <c r="I142" i="1"/>
  <c r="J142" i="1" s="1"/>
  <c r="L142" i="1" s="1"/>
  <c r="I141" i="1"/>
  <c r="J141" i="1" s="1"/>
  <c r="L141" i="1" s="1"/>
  <c r="I140" i="1"/>
  <c r="J140" i="1" s="1"/>
  <c r="L140" i="1" s="1"/>
  <c r="I139" i="1"/>
  <c r="J139" i="1" s="1"/>
  <c r="L139" i="1" s="1"/>
  <c r="I138" i="1"/>
  <c r="J138" i="1" s="1"/>
  <c r="L138" i="1" s="1"/>
  <c r="I137" i="1"/>
  <c r="J137" i="1" s="1"/>
  <c r="L137" i="1" s="1"/>
  <c r="I136" i="1"/>
  <c r="J136" i="1" s="1"/>
  <c r="L136" i="1" s="1"/>
  <c r="I135" i="1"/>
  <c r="J135" i="1" s="1"/>
  <c r="L135" i="1" s="1"/>
  <c r="I134" i="1"/>
  <c r="J134" i="1" s="1"/>
  <c r="L134" i="1" s="1"/>
  <c r="I133" i="1"/>
  <c r="J133" i="1" s="1"/>
  <c r="L133" i="1" s="1"/>
  <c r="I132" i="1"/>
  <c r="J132" i="1" s="1"/>
  <c r="L132" i="1" s="1"/>
  <c r="I131" i="1"/>
  <c r="J131" i="1" s="1"/>
  <c r="L131" i="1" s="1"/>
  <c r="I130" i="1"/>
  <c r="J130" i="1" s="1"/>
  <c r="L130" i="1" s="1"/>
  <c r="I129" i="1"/>
  <c r="J129" i="1" s="1"/>
  <c r="L129" i="1" s="1"/>
  <c r="I128" i="1"/>
  <c r="J128" i="1" s="1"/>
  <c r="L128" i="1" s="1"/>
  <c r="I127" i="1"/>
  <c r="J127" i="1" s="1"/>
  <c r="L127" i="1" s="1"/>
  <c r="I126" i="1"/>
  <c r="J126" i="1" s="1"/>
  <c r="L126" i="1" s="1"/>
  <c r="I125" i="1"/>
  <c r="J125" i="1" s="1"/>
  <c r="L125" i="1" s="1"/>
  <c r="I124" i="1"/>
  <c r="J124" i="1" s="1"/>
  <c r="L124" i="1" s="1"/>
  <c r="I123" i="1"/>
  <c r="J123" i="1" s="1"/>
  <c r="L123" i="1" s="1"/>
  <c r="I122" i="1"/>
  <c r="J122" i="1" s="1"/>
  <c r="L122" i="1" s="1"/>
  <c r="I121" i="1"/>
  <c r="J121" i="1" s="1"/>
  <c r="L121" i="1" s="1"/>
  <c r="I120" i="1"/>
  <c r="J120" i="1" s="1"/>
  <c r="L120" i="1" s="1"/>
  <c r="I119" i="1"/>
  <c r="J119" i="1" s="1"/>
  <c r="L119" i="1" s="1"/>
  <c r="I118" i="1"/>
  <c r="J118" i="1" s="1"/>
  <c r="L118" i="1" s="1"/>
  <c r="I117" i="1"/>
  <c r="J117" i="1" s="1"/>
  <c r="L117" i="1" s="1"/>
  <c r="I116" i="1"/>
  <c r="J116" i="1" s="1"/>
  <c r="L116" i="1" s="1"/>
  <c r="I115" i="1"/>
  <c r="J115" i="1" s="1"/>
  <c r="L115" i="1" s="1"/>
  <c r="I114" i="1"/>
  <c r="J114" i="1" s="1"/>
  <c r="L114" i="1" s="1"/>
  <c r="I113" i="1"/>
  <c r="J113" i="1" s="1"/>
  <c r="L113" i="1" s="1"/>
  <c r="I112" i="1"/>
  <c r="J112" i="1" s="1"/>
  <c r="L112" i="1" s="1"/>
  <c r="I111" i="1"/>
  <c r="J111" i="1" s="1"/>
  <c r="L111" i="1" s="1"/>
  <c r="I110" i="1"/>
  <c r="J110" i="1" s="1"/>
  <c r="L110" i="1" s="1"/>
  <c r="I109" i="1"/>
  <c r="J109" i="1" s="1"/>
  <c r="L109" i="1" s="1"/>
  <c r="I108" i="1"/>
  <c r="J108" i="1" s="1"/>
  <c r="L108" i="1" s="1"/>
  <c r="I107" i="1"/>
  <c r="J107" i="1" s="1"/>
  <c r="L107" i="1" s="1"/>
  <c r="I106" i="1"/>
  <c r="J106" i="1" s="1"/>
  <c r="L106" i="1" s="1"/>
  <c r="I105" i="1"/>
  <c r="J105" i="1" s="1"/>
  <c r="L105" i="1" s="1"/>
  <c r="I104" i="1"/>
  <c r="J104" i="1" s="1"/>
  <c r="L104" i="1" s="1"/>
  <c r="I103" i="1"/>
  <c r="J103" i="1" s="1"/>
  <c r="L103" i="1" s="1"/>
  <c r="I102" i="1"/>
  <c r="J102" i="1" s="1"/>
  <c r="L102" i="1" s="1"/>
  <c r="I101" i="1"/>
  <c r="J101" i="1" s="1"/>
  <c r="L101" i="1" s="1"/>
  <c r="I100" i="1"/>
  <c r="J100" i="1" s="1"/>
  <c r="L100" i="1" s="1"/>
  <c r="I99" i="1"/>
  <c r="J99" i="1" s="1"/>
  <c r="L99" i="1" s="1"/>
  <c r="I98" i="1"/>
  <c r="J98" i="1" s="1"/>
  <c r="L98" i="1" s="1"/>
  <c r="I97" i="1"/>
  <c r="J97" i="1" s="1"/>
  <c r="L97" i="1" s="1"/>
  <c r="I96" i="1"/>
  <c r="J96" i="1" s="1"/>
  <c r="L96" i="1" s="1"/>
  <c r="I95" i="1"/>
  <c r="J95" i="1" s="1"/>
  <c r="L95" i="1" s="1"/>
  <c r="I94" i="1"/>
  <c r="J94" i="1" s="1"/>
  <c r="L94" i="1" s="1"/>
  <c r="I93" i="1"/>
  <c r="J93" i="1" s="1"/>
  <c r="L93" i="1" s="1"/>
  <c r="I92" i="1"/>
  <c r="J92" i="1" s="1"/>
  <c r="L92" i="1" s="1"/>
  <c r="I91" i="1"/>
  <c r="J91" i="1" s="1"/>
  <c r="L91" i="1" s="1"/>
  <c r="I90" i="1"/>
  <c r="J90" i="1" s="1"/>
  <c r="L90" i="1" s="1"/>
  <c r="I89" i="1"/>
  <c r="J89" i="1" s="1"/>
  <c r="L89" i="1" s="1"/>
  <c r="I88" i="1"/>
  <c r="J88" i="1" s="1"/>
  <c r="L88" i="1" s="1"/>
  <c r="I87" i="1"/>
  <c r="J87" i="1" s="1"/>
  <c r="L87" i="1" s="1"/>
  <c r="I86" i="1"/>
  <c r="J86" i="1" s="1"/>
  <c r="L86" i="1" s="1"/>
  <c r="I85" i="1"/>
  <c r="J85" i="1" s="1"/>
  <c r="L85" i="1" s="1"/>
  <c r="I84" i="1"/>
  <c r="J84" i="1" s="1"/>
  <c r="L84" i="1" s="1"/>
  <c r="I83" i="1"/>
  <c r="J83" i="1" s="1"/>
  <c r="L83" i="1" s="1"/>
  <c r="I82" i="1"/>
  <c r="J82" i="1" s="1"/>
  <c r="L82" i="1" s="1"/>
  <c r="I81" i="1"/>
  <c r="I80" i="1"/>
  <c r="J80" i="1" s="1"/>
  <c r="L80" i="1" s="1"/>
  <c r="I79" i="1"/>
  <c r="J79" i="1" s="1"/>
  <c r="L79" i="1" s="1"/>
  <c r="I78" i="1"/>
  <c r="J78" i="1" s="1"/>
  <c r="L78" i="1" s="1"/>
  <c r="I77" i="1"/>
  <c r="J77" i="1" s="1"/>
  <c r="L77" i="1" s="1"/>
  <c r="I76" i="1"/>
  <c r="J76" i="1" s="1"/>
  <c r="L76" i="1" s="1"/>
  <c r="I75" i="1"/>
  <c r="J75" i="1" s="1"/>
  <c r="L75" i="1" s="1"/>
  <c r="I74" i="1"/>
  <c r="J74" i="1" s="1"/>
  <c r="L74" i="1" s="1"/>
  <c r="I73" i="1"/>
  <c r="J73" i="1" s="1"/>
  <c r="L73" i="1" s="1"/>
  <c r="I72" i="1"/>
  <c r="J72" i="1" s="1"/>
  <c r="L72" i="1" s="1"/>
  <c r="I71" i="1"/>
  <c r="J71" i="1" s="1"/>
  <c r="L71" i="1" s="1"/>
  <c r="I70" i="1"/>
  <c r="J70" i="1" s="1"/>
  <c r="L70" i="1" s="1"/>
  <c r="I69" i="1"/>
  <c r="J69" i="1" s="1"/>
  <c r="L69" i="1" s="1"/>
  <c r="I68" i="1"/>
  <c r="J68" i="1" s="1"/>
  <c r="L68" i="1" s="1"/>
  <c r="I67" i="1"/>
  <c r="J67" i="1" s="1"/>
  <c r="L67" i="1" s="1"/>
  <c r="I66" i="1"/>
  <c r="J66" i="1" s="1"/>
  <c r="L66" i="1" s="1"/>
  <c r="I65" i="1"/>
  <c r="J65" i="1" s="1"/>
  <c r="L65" i="1" s="1"/>
  <c r="I64" i="1"/>
  <c r="J64" i="1" s="1"/>
  <c r="L64" i="1" s="1"/>
  <c r="I63" i="1"/>
  <c r="J63" i="1" s="1"/>
  <c r="L63" i="1" s="1"/>
  <c r="I62" i="1"/>
  <c r="J62" i="1" s="1"/>
  <c r="L62" i="1" s="1"/>
  <c r="I61" i="1"/>
  <c r="J61" i="1" s="1"/>
  <c r="L61" i="1" s="1"/>
  <c r="I60" i="1"/>
  <c r="J60" i="1" s="1"/>
  <c r="L60" i="1" s="1"/>
  <c r="I59" i="1"/>
  <c r="J59" i="1" s="1"/>
  <c r="L59" i="1" s="1"/>
  <c r="I58" i="1"/>
  <c r="J58" i="1" s="1"/>
  <c r="L58" i="1" s="1"/>
  <c r="I57" i="1"/>
  <c r="J57" i="1" s="1"/>
  <c r="L57" i="1" s="1"/>
  <c r="I56" i="1"/>
  <c r="J56" i="1" s="1"/>
  <c r="L56" i="1" s="1"/>
  <c r="I55" i="1"/>
  <c r="J55" i="1" s="1"/>
  <c r="L55" i="1" s="1"/>
  <c r="I54" i="1"/>
  <c r="J54" i="1" s="1"/>
  <c r="L54" i="1" s="1"/>
  <c r="I53" i="1"/>
  <c r="J53" i="1" s="1"/>
  <c r="L53" i="1" s="1"/>
  <c r="I52" i="1"/>
  <c r="J52" i="1" s="1"/>
  <c r="L52" i="1" s="1"/>
  <c r="I51" i="1"/>
  <c r="J51" i="1" s="1"/>
  <c r="L51" i="1" s="1"/>
  <c r="I50" i="1"/>
  <c r="J50" i="1" s="1"/>
  <c r="L50" i="1" s="1"/>
  <c r="I49" i="1"/>
  <c r="J49" i="1" s="1"/>
  <c r="L49" i="1" s="1"/>
  <c r="I48" i="1"/>
  <c r="J48" i="1" s="1"/>
  <c r="L48" i="1" s="1"/>
  <c r="I47" i="1"/>
  <c r="J47" i="1" s="1"/>
  <c r="L47" i="1" s="1"/>
  <c r="I46" i="1"/>
  <c r="J46" i="1" s="1"/>
  <c r="L46" i="1" s="1"/>
  <c r="I45" i="1"/>
  <c r="J45" i="1" s="1"/>
  <c r="L45" i="1" s="1"/>
  <c r="I44" i="1"/>
  <c r="J44" i="1" s="1"/>
  <c r="L44" i="1" s="1"/>
  <c r="I43" i="1"/>
  <c r="J43" i="1" s="1"/>
  <c r="L43" i="1" s="1"/>
  <c r="I42" i="1"/>
  <c r="J42" i="1" s="1"/>
  <c r="L42" i="1" s="1"/>
  <c r="I41" i="1"/>
  <c r="J41" i="1" s="1"/>
  <c r="L41" i="1" s="1"/>
  <c r="I40" i="1"/>
  <c r="J40" i="1" s="1"/>
  <c r="L40" i="1" s="1"/>
  <c r="I39" i="1"/>
  <c r="J39" i="1" s="1"/>
  <c r="L39" i="1" s="1"/>
  <c r="I38" i="1"/>
  <c r="J38" i="1" s="1"/>
  <c r="L38" i="1" s="1"/>
  <c r="I37" i="1"/>
  <c r="J37" i="1" s="1"/>
  <c r="L37" i="1" s="1"/>
  <c r="I36" i="1"/>
  <c r="J36" i="1" s="1"/>
  <c r="L36" i="1" s="1"/>
  <c r="I35" i="1"/>
  <c r="J35" i="1" s="1"/>
  <c r="L35" i="1" s="1"/>
  <c r="I34" i="1"/>
  <c r="J34" i="1" s="1"/>
  <c r="L34" i="1" s="1"/>
  <c r="I33" i="1"/>
  <c r="J33" i="1" s="1"/>
  <c r="L33" i="1" s="1"/>
  <c r="I32" i="1"/>
  <c r="J32" i="1" s="1"/>
  <c r="L32" i="1" s="1"/>
  <c r="I31" i="1"/>
  <c r="J31" i="1" s="1"/>
  <c r="L31" i="1" s="1"/>
  <c r="I30" i="1"/>
  <c r="J30" i="1" s="1"/>
  <c r="L30" i="1" s="1"/>
  <c r="I29" i="1"/>
  <c r="J29" i="1" s="1"/>
  <c r="L29" i="1" s="1"/>
  <c r="I28" i="1"/>
  <c r="J28" i="1" s="1"/>
  <c r="L28" i="1" s="1"/>
  <c r="I27" i="1"/>
  <c r="J27" i="1" s="1"/>
  <c r="L27" i="1" s="1"/>
  <c r="I26" i="1"/>
  <c r="J26" i="1" s="1"/>
  <c r="L26" i="1" s="1"/>
  <c r="I25" i="1"/>
  <c r="J25" i="1" s="1"/>
  <c r="L25" i="1" s="1"/>
  <c r="I24" i="1"/>
  <c r="J24" i="1" s="1"/>
  <c r="L24" i="1" s="1"/>
  <c r="I23" i="1"/>
  <c r="J23" i="1" s="1"/>
  <c r="L23" i="1" s="1"/>
  <c r="I22" i="1"/>
  <c r="J22" i="1" s="1"/>
  <c r="L22" i="1" s="1"/>
  <c r="I21" i="1"/>
  <c r="J21" i="1" s="1"/>
  <c r="L21" i="1" s="1"/>
  <c r="I20" i="1"/>
  <c r="J20" i="1" s="1"/>
  <c r="L20" i="1" s="1"/>
  <c r="I19" i="1"/>
  <c r="J19" i="1" s="1"/>
  <c r="L19" i="1" s="1"/>
  <c r="I18" i="1"/>
  <c r="J18" i="1" s="1"/>
  <c r="L18" i="1" s="1"/>
  <c r="I17" i="1"/>
  <c r="J17" i="1" s="1"/>
  <c r="L17" i="1" s="1"/>
  <c r="I16" i="1"/>
  <c r="J16" i="1" s="1"/>
  <c r="L16" i="1" s="1"/>
  <c r="I15" i="1"/>
  <c r="J15" i="1" s="1"/>
  <c r="L15" i="1" s="1"/>
  <c r="I14" i="1"/>
  <c r="J14" i="1" s="1"/>
  <c r="L14" i="1" s="1"/>
  <c r="I13" i="1"/>
  <c r="J13" i="1" s="1"/>
  <c r="L13" i="1" s="1"/>
  <c r="I12" i="1"/>
  <c r="I11" i="1"/>
  <c r="J11" i="1" s="1"/>
  <c r="L11" i="1" s="1"/>
  <c r="I10" i="1"/>
  <c r="J10" i="1" s="1"/>
  <c r="L10" i="1" s="1"/>
  <c r="I9" i="1"/>
  <c r="J9" i="1" s="1"/>
  <c r="L9" i="1" s="1"/>
  <c r="I8" i="1"/>
  <c r="J8" i="1" s="1"/>
  <c r="L8" i="1" s="1"/>
  <c r="I7" i="1"/>
  <c r="J7" i="1" s="1"/>
  <c r="L7" i="1" s="1"/>
  <c r="I6" i="1"/>
  <c r="J6" i="1" s="1"/>
  <c r="L6" i="1" s="1"/>
  <c r="I5" i="1"/>
  <c r="J216" i="1" l="1"/>
  <c r="J81" i="1"/>
  <c r="J215" i="1"/>
  <c r="J12" i="1"/>
  <c r="L12" i="1" s="1"/>
  <c r="J204" i="1"/>
  <c r="J206" i="1"/>
  <c r="J201" i="1"/>
  <c r="J202" i="1"/>
  <c r="J203" i="1"/>
  <c r="J205" i="1"/>
  <c r="J187" i="1"/>
  <c r="L187" i="1" s="1"/>
  <c r="J177" i="1"/>
  <c r="L177" i="1" s="1"/>
  <c r="J178" i="1"/>
  <c r="L178" i="1" s="1"/>
  <c r="J179" i="1"/>
  <c r="L179" i="1" s="1"/>
  <c r="J180" i="1"/>
  <c r="L180" i="1" s="1"/>
  <c r="J181" i="1"/>
  <c r="L181" i="1" s="1"/>
  <c r="J182" i="1"/>
  <c r="L182" i="1" s="1"/>
  <c r="J183" i="1"/>
  <c r="L183" i="1" s="1"/>
  <c r="J184" i="1"/>
  <c r="L184" i="1" s="1"/>
  <c r="J185" i="1"/>
  <c r="L185" i="1" s="1"/>
  <c r="J186" i="1"/>
  <c r="L186" i="1" s="1"/>
  <c r="J188" i="1"/>
  <c r="L188" i="1" s="1"/>
  <c r="J189" i="1"/>
  <c r="L189" i="1" s="1"/>
  <c r="J190" i="1"/>
  <c r="L190" i="1" s="1"/>
  <c r="J191" i="1"/>
  <c r="L191" i="1" s="1"/>
  <c r="J192" i="1"/>
  <c r="L192" i="1" s="1"/>
  <c r="J5" i="1"/>
  <c r="L216" i="1" l="1"/>
  <c r="L215" i="1"/>
  <c r="L81" i="1"/>
  <c r="L5" i="1"/>
  <c r="L206" i="1"/>
  <c r="L205" i="1"/>
  <c r="L204" i="1"/>
  <c r="L203" i="1"/>
  <c r="L202" i="1"/>
  <c r="L201" i="1"/>
  <c r="L256" i="1" l="1"/>
</calcChain>
</file>

<file path=xl/sharedStrings.xml><?xml version="1.0" encoding="utf-8"?>
<sst xmlns="http://schemas.openxmlformats.org/spreadsheetml/2006/main" count="768" uniqueCount="277">
  <si>
    <t>Supplier</t>
  </si>
  <si>
    <t xml:space="preserve"> B and M Telecom, Inc.</t>
  </si>
  <si>
    <t>Unit#</t>
  </si>
  <si>
    <t>Section</t>
  </si>
  <si>
    <t xml:space="preserve">Assembly Unit </t>
  </si>
  <si>
    <t>UOM</t>
  </si>
  <si>
    <t>EACH</t>
  </si>
  <si>
    <t>HRS</t>
  </si>
  <si>
    <t>DOWNTIME - CAPITAL PROJECT</t>
  </si>
  <si>
    <t>ACTUAL</t>
  </si>
  <si>
    <t>SPLICER - FIBER</t>
  </si>
  <si>
    <t>HOUR</t>
  </si>
  <si>
    <t>ISP</t>
  </si>
  <si>
    <t>FOOT</t>
  </si>
  <si>
    <t>CONNECTOR - RAW FIBER</t>
  </si>
  <si>
    <t>FIBER IN CONDUIT ISP</t>
  </si>
  <si>
    <t>FIBER NOT IN CONDUIT ISP</t>
  </si>
  <si>
    <t>JUMPER PRE-CONNECTORIZED FIBER</t>
  </si>
  <si>
    <t>MATERIAL - CUSTOMER PREM</t>
  </si>
  <si>
    <t>TERMINATE FIBER CONNECTOR 1-12</t>
  </si>
  <si>
    <t>TERMINATE FIBER CONNECTOR &gt;12 &lt;=48</t>
  </si>
  <si>
    <t>TERMINATE FIBER CONNECTOR &gt;144</t>
  </si>
  <si>
    <t>TERMINATE FIBER CONNECTOR &gt;48 &lt;=96</t>
  </si>
  <si>
    <t>TERMINATE FIBER CONNECTOR &gt;96 &lt;=144</t>
  </si>
  <si>
    <t>MAT</t>
  </si>
  <si>
    <t/>
  </si>
  <si>
    <t>BULKHEAD ADAPTER SC/APC</t>
  </si>
  <si>
    <t>BULKHEAD ADAPTER SC/UPC</t>
  </si>
  <si>
    <t>CASE AER FIB (12.5X7) MPT-8 FDP-LCU</t>
  </si>
  <si>
    <t>CASE AER FIB 11.5x23 GEL NO TRAY</t>
  </si>
  <si>
    <t>CASE AER FIB 6x22 6 PORT NO TRAY</t>
  </si>
  <si>
    <t>CASE AER FIB 8.5x22 6 PORT NO TRAY</t>
  </si>
  <si>
    <t>CASE AER FIB 8.6x17 6 PORT NO TRAY</t>
  </si>
  <si>
    <t>CASE AER FIB 9.5x28 7PORT NO BASKET</t>
  </si>
  <si>
    <t>CASE AER FIB 9.5x28 7PORT w BASKET</t>
  </si>
  <si>
    <t>CASE AER FIB 9.5x28 SS CASE NO TRAY</t>
  </si>
  <si>
    <t>CASE AER FIB A 8x19 GEL 12 TRAY</t>
  </si>
  <si>
    <t>CASE AER FIB A 8x19.5 HS 16 TRAY</t>
  </si>
  <si>
    <t>CASE AER FIB B 8x25 HS 12 TRAY</t>
  </si>
  <si>
    <t>CASE AER FIB B 8x25 HS 16 TRAY</t>
  </si>
  <si>
    <t>CASE AER FIB B 8x25 HS RBN TRAY</t>
  </si>
  <si>
    <t>CASE AER FIB B 9.8x24 GEL NO TRAY</t>
  </si>
  <si>
    <t>CASE AER FIB C 11.5x23 HS 12 TRAY</t>
  </si>
  <si>
    <t>CASE AER FIB D 11.5x30 GEL 36 TRAY</t>
  </si>
  <si>
    <t>CASE AER FIB D 11.5x30 GEL NO TRAY</t>
  </si>
  <si>
    <t>CASE AER FIB D 11.5x31 HS 36 TRAY</t>
  </si>
  <si>
    <t>CASE AER FIB D 11x33 GEL 36 TRAY</t>
  </si>
  <si>
    <t>CASE AER FIB D 11x33 GEL NO TRAY</t>
  </si>
  <si>
    <t>CASE AER FIB DXL-2PORT NO TRAY</t>
  </si>
  <si>
    <t>CASE AER FIB RUNT 3 PORT SM NO TRAY</t>
  </si>
  <si>
    <t>CASE BUR FIB (12.5X7) MPT-8 FDP-LCU</t>
  </si>
  <si>
    <t>CASE BUR FIB 11.5x23 GEL NO TRAY</t>
  </si>
  <si>
    <t>CASE BUR FIB 6x22 6 PORT NO TRAY</t>
  </si>
  <si>
    <t>CASE BUR FIB 8.5x22 6 PORT NO TRAY</t>
  </si>
  <si>
    <t>CASE BUR FIB 8.6x17 6 PORT NO TRAY</t>
  </si>
  <si>
    <t>CASE BUR FIB 9.5x28 7PORT NO BASKET</t>
  </si>
  <si>
    <t>CASE BUR FIB 9.5x28 7PORT w BASKET</t>
  </si>
  <si>
    <t>CASE BUR FIB 9.5x28 SS CASE NO TRAY</t>
  </si>
  <si>
    <t>CASE BUR FIB A 8X19 GEL 12 TRAY</t>
  </si>
  <si>
    <t>CASE BUR FIB A 8X19.5 HS 16 TRAY</t>
  </si>
  <si>
    <t>CASE BUR FIB B 8X25 HS 12 TRAY</t>
  </si>
  <si>
    <t>CASE BUR FIB B 8X25 HS 16 TRAY</t>
  </si>
  <si>
    <t>CASE BUR FIB B 8x25 HS RBN TRAY</t>
  </si>
  <si>
    <t>CASE BUR FIB B 9.8X24 GEL NO TRAY</t>
  </si>
  <si>
    <t>CASE BUR FIB C 11.5X23 HS 12 TRAY</t>
  </si>
  <si>
    <t>CASE BUR FIB D 11.5X30 GEL 36 TRAY</t>
  </si>
  <si>
    <t>CASE BUR FIB D 11.5X30 GEL NO TRAY</t>
  </si>
  <si>
    <t>CASE BUR FIB D 11.5X31 HS 36 TRAY</t>
  </si>
  <si>
    <t>CASE BUR FIB D 11X33 GEL 36 TRAY</t>
  </si>
  <si>
    <t>CASE BUR FIB D 11X33 GEL NO TRAY</t>
  </si>
  <si>
    <t>CASE BUR FIB DXL-2PORT NO TRAY</t>
  </si>
  <si>
    <t>CASE BUR FIB RUNT 3 PORT SM NO TRAY</t>
  </si>
  <si>
    <t>CASE FIB DROP GATOR 1.2x7.5 GEL</t>
  </si>
  <si>
    <t>CASE UG FIB (12.5X7) MPT-8 FDP-LCU</t>
  </si>
  <si>
    <t>CASE UG FIB 11.5x23 GEL NO TRAY</t>
  </si>
  <si>
    <t>CASE UG FIB 6x22 6 PORT NO TRAY</t>
  </si>
  <si>
    <t>CASE UG FIB 8.5x22 6 PORT NO TRAY</t>
  </si>
  <si>
    <t>CASE UG FIB 8.6x17 6 PORT NO TRAY</t>
  </si>
  <si>
    <t>CASE UG FIB 9.5x28 7PORT NO BASKET</t>
  </si>
  <si>
    <t>CASE UG FIB 9.5x28 7PORT w BASKET</t>
  </si>
  <si>
    <t>CASE UG FIB 9.5x28 SS CASE NO TRAY</t>
  </si>
  <si>
    <t>CASE UG FIB A 8x19 GEL 12 TRAY</t>
  </si>
  <si>
    <t>CASE UG FIB A 8x19.5 HS 16 TRAY</t>
  </si>
  <si>
    <t>CASE UG FIB B 8X25 HS RBN TRAY</t>
  </si>
  <si>
    <t>CASE UG FIB B 8x25 HS 12 TRAY</t>
  </si>
  <si>
    <t>CASE UG FIB B 8x25 HS 16 TRAY</t>
  </si>
  <si>
    <t>CASE UG FIB B 9.8x24 GEL NO TRAY</t>
  </si>
  <si>
    <t>CASE UG FIB C 11.5x23 HS 12 TRAY</t>
  </si>
  <si>
    <t>CASE UG FIB D 11.5x30 GEL 36 TRAY</t>
  </si>
  <si>
    <t>CASE UG FIB D 11.5x30 GEL NO TRAY</t>
  </si>
  <si>
    <t>CASE UG FIB D 11.5x31 HS 36 TRAY</t>
  </si>
  <si>
    <t>CASE UG FIB D 11x33 GEL 36 TRAY</t>
  </si>
  <si>
    <t>CASE UG FIB D 11x33 GEL NO TRAY</t>
  </si>
  <si>
    <t>CASE UG FIB DXL-2PORT NO TRAY</t>
  </si>
  <si>
    <t>CASE UG FIB RUNT 3 PORT SM NO TRAY</t>
  </si>
  <si>
    <t>ENDPLATE 12in 2PORT 4.4in 2T</t>
  </si>
  <si>
    <t>ENDPLATE 12in 3PORT 4.4 2-3.4in 2T</t>
  </si>
  <si>
    <t>ENDPLATE 5.25in 1PORT 2.2in 2T</t>
  </si>
  <si>
    <t>ENDPLATE 5.25in 2PORT 2.2in 2T</t>
  </si>
  <si>
    <t>ENDPLATE 7in 1PORT 3.4in 2T</t>
  </si>
  <si>
    <t>ENDPLATE 7in 1PORT 3.4in 4T</t>
  </si>
  <si>
    <t>ENDPLATE 7in 2PORT 2.2in 2T</t>
  </si>
  <si>
    <t>ENDPLATE 7in 2PORT 2.2in 4T</t>
  </si>
  <si>
    <t>ENDPLATE 7in 3PORT 2.2in 2-1in 2T</t>
  </si>
  <si>
    <t>ENDPLATE 7in 3PORT 2.2in 2-1in 4T</t>
  </si>
  <si>
    <t>ENDPLATE 8in 1PORT 3.4in 2T</t>
  </si>
  <si>
    <t>ENDPLATE 8in 2PORT 2.8in 2T</t>
  </si>
  <si>
    <t>ENDPLATE 8in 3PORT 2.8in 2-1.6in 2T</t>
  </si>
  <si>
    <t>ENDPLATE 9.5in 1PORT 3.2in 2T</t>
  </si>
  <si>
    <t>ENDPLATE 9.5in 1PORT 3.4in 2T</t>
  </si>
  <si>
    <t>ENDPLATE 9.5in 1PORT 3.4in 4T</t>
  </si>
  <si>
    <t>ENDPLATE 9.5in 2PORT 3.2in 2T</t>
  </si>
  <si>
    <t>ENDPLATE 9.5in 2PORT 3.4in 2T</t>
  </si>
  <si>
    <t>ENDPLATE 9.5in 2PORT 3.4in 4T</t>
  </si>
  <si>
    <t>ENDPLATE 9.5in 3PORT 3.4 2-2.2in 2T</t>
  </si>
  <si>
    <t>ENDPLATE 9.5in 3PORT 3.4 2-2.2in 4T</t>
  </si>
  <si>
    <t>FDP 12 PORT 6ft TAIL w/TRAY</t>
  </si>
  <si>
    <t>FDP 144 2 TAILS PATCH ONLY</t>
  </si>
  <si>
    <t>FDP 144 2 TAILS PATCH ONLY PWR ROD</t>
  </si>
  <si>
    <t>FDP 24 PORT 6ft TAIL w/TRAY</t>
  </si>
  <si>
    <t>FDP 24 PORT 72 MAX 1 TRAY</t>
  </si>
  <si>
    <t>FDP 24 PORT 72 MAX PATCH ONLY</t>
  </si>
  <si>
    <t>FDP 24 PORT BULKHEAD SLACK STORAGE</t>
  </si>
  <si>
    <t>FDP 72 1 TAIL PATCH ONLY</t>
  </si>
  <si>
    <t>FDP 8 PORT MINI</t>
  </si>
  <si>
    <t>FDP-BULKHEAD 6 PORT LC - MM(50)</t>
  </si>
  <si>
    <t>FDP-BULKHEAD 6 PORT LC - MM(62.5)</t>
  </si>
  <si>
    <t>FDP-BULKHEAD 6 PORT LC - SM</t>
  </si>
  <si>
    <t>FDP-BULKHEAD 6 PORT SC - MM(50)</t>
  </si>
  <si>
    <t>FDP-BULKHEAD 6 PORT SC - MM(62.5)</t>
  </si>
  <si>
    <t>FDP-BULKHEAD 6 PORT SC - SM</t>
  </si>
  <si>
    <t>FDP-RACK MOUNT-2 PANEL - BE</t>
  </si>
  <si>
    <t>FDP-WALL MOUNT-1 PANEL - BE</t>
  </si>
  <si>
    <t>FDP-WALL MOUNT-2 PANEL - BE</t>
  </si>
  <si>
    <t>FIB 12 MINI PATCH I/O LC-UNC 100</t>
  </si>
  <si>
    <t>FIB 12 MINI PATCH I/O LC-UNC 1000</t>
  </si>
  <si>
    <t>FIB 12 MINI PATCH I/O LC-UNC 200</t>
  </si>
  <si>
    <t>FIB 12 MINI PATCH I/O LC-UNC 400</t>
  </si>
  <si>
    <t>FIB 12 MINI PATCH I/O SC-UNC 100</t>
  </si>
  <si>
    <t>FIB 12 MINI PATCH I/O SC-UNC 1000</t>
  </si>
  <si>
    <t>FIB 12 MINI PATCH I/O SC-UNC 200</t>
  </si>
  <si>
    <t>FIB 12 MINI PATCH I/O SC-UNC 400</t>
  </si>
  <si>
    <t>FIB 12 MINI PATCH PL LC-UNC 100</t>
  </si>
  <si>
    <t>FIB 12 MINI PATCH PL LC-UNC 1000</t>
  </si>
  <si>
    <t>FIB 12 MINI PATCH PL LC-UNC 200</t>
  </si>
  <si>
    <t>FIB 12 MINI PATCH PL LC-UNC 400</t>
  </si>
  <si>
    <t>FIB 12 MINI PATCH PL SC-UNC 100</t>
  </si>
  <si>
    <t>FIB 12 MINI PATCH PL SC-UNC 1000</t>
  </si>
  <si>
    <t>FIB 12 MINI PATCH PL SC-UNC 200</t>
  </si>
  <si>
    <t>FIB 12 MINI PATCH PL SC-UNC 400</t>
  </si>
  <si>
    <t>FIB 12 PIN MPO 1000ft RAW DIE</t>
  </si>
  <si>
    <t>FIB 12 PIN MPO 1000ft RAW TN</t>
  </si>
  <si>
    <t>FIB 12 PIN MPO 100ft RAW DIE</t>
  </si>
  <si>
    <t>FIB 12 PIN MPO 100ft RAW TN</t>
  </si>
  <si>
    <t>FIB 12 PIN MPO 1250ft RAW DIE</t>
  </si>
  <si>
    <t>FIB 12 PIN MPO 1250ft RAW TN</t>
  </si>
  <si>
    <t>FIB 12 PIN MPO 250ft RAW DIE</t>
  </si>
  <si>
    <t>FIB 12 PIN MPO 250ft RAW TN</t>
  </si>
  <si>
    <t>FIB 12 PIN MPO 500ft RAW DIE</t>
  </si>
  <si>
    <t>FIB 12 PIN MPO 500ft RAW TN</t>
  </si>
  <si>
    <t>FIB 12 PIN MPO 50ft RAW DIE</t>
  </si>
  <si>
    <t>FIB 12 PIN MPO 50ft RAW TN</t>
  </si>
  <si>
    <t>FIB 12 PIN MPO 750ft RAW DIE</t>
  </si>
  <si>
    <t>FIB 12 PIN MPO 750ft RAW TN</t>
  </si>
  <si>
    <t>FIB BASKET TALL</t>
  </si>
  <si>
    <t>FIB EZBEND IW DEREG</t>
  </si>
  <si>
    <t>FIB EZBEND IW REG</t>
  </si>
  <si>
    <t>FIB PIGTAIL 1 RAW-SC/APC 6ft</t>
  </si>
  <si>
    <t>FIB PIGTAIL 12 RAW-SC/APC 9ft</t>
  </si>
  <si>
    <t>FIB PIGTAIL RAW-LC/UPC 6ft</t>
  </si>
  <si>
    <t>FIB PIGTAIL RAW-SC/APC 6ft</t>
  </si>
  <si>
    <t>FIB SPLICE AND SLACK STORAGE</t>
  </si>
  <si>
    <t>FIB STORAGE BOX 7in x 10in x 3in</t>
  </si>
  <si>
    <t>FIB STORAGE BOX 7in x 4in x 2in</t>
  </si>
  <si>
    <t>FIB STORAGE BOX 9in x 10in x 3in</t>
  </si>
  <si>
    <t>FIB TRAY 12 COYOTE RUNT</t>
  </si>
  <si>
    <t>FIB TRAY 12 RBN FOSC 450 A/B</t>
  </si>
  <si>
    <t>FIB TRAY 12-24 PED</t>
  </si>
  <si>
    <t>FIB TRAY 24 COMPACT FDP</t>
  </si>
  <si>
    <t>FIB TRAY 24 FOSC 450 A</t>
  </si>
  <si>
    <t>FIB TRAY 24 FOSC 450 B</t>
  </si>
  <si>
    <t>FIB TRAY 24 FOSC 450 C</t>
  </si>
  <si>
    <t>FIB TRAY 24 RBN FOSC 600 D</t>
  </si>
  <si>
    <t>FIB TRAY 288 RIBBON COYOTE</t>
  </si>
  <si>
    <t>FIB TRAY 36 COYOTE</t>
  </si>
  <si>
    <t>FIB TRAY 36 FOSC 600 D</t>
  </si>
  <si>
    <t>FIB TRAY 48 FOSC 600 D</t>
  </si>
  <si>
    <t>FIB TRAY 576 FOSC 600 DXL</t>
  </si>
  <si>
    <t>FIB TRAY 72 FOSC 600 D</t>
  </si>
  <si>
    <t>GROUND BRACKET KIT</t>
  </si>
  <si>
    <t>STATION SURGE PROTECTOR</t>
  </si>
  <si>
    <t>TAG AER FIB CABLE</t>
  </si>
  <si>
    <t>MISC</t>
  </si>
  <si>
    <t>GPS COORDINATES</t>
  </si>
  <si>
    <t>TRAFFIC CONTROL - 3rd PARTY</t>
  </si>
  <si>
    <t>TRIP CHARGE - PICKUP &amp; DELIVERY</t>
  </si>
  <si>
    <t>SPL</t>
  </si>
  <si>
    <t>ADD FIBER TRAY OR BASKET</t>
  </si>
  <si>
    <t>CASE FIBER NEW</t>
  </si>
  <si>
    <t>FIBER ADD TO EXIST CASE</t>
  </si>
  <si>
    <t>FIBER CABLE SURGE PROTECTOR</t>
  </si>
  <si>
    <t>FIBER CONNECTOR END FACE TEST</t>
  </si>
  <si>
    <t>FIBER SLACK STORAGE BOX</t>
  </si>
  <si>
    <t>FIBER SPLITTER</t>
  </si>
  <si>
    <t>FIBER TRANSFER TUBE</t>
  </si>
  <si>
    <t>PREP FIBER CABLE IN HOUSING</t>
  </si>
  <si>
    <t>PREP FIBER CABLE MIDSHEATH CASE</t>
  </si>
  <si>
    <t>PREP FIBER CABLE MIDSHEATH PEDESTAL</t>
  </si>
  <si>
    <t>RE-ENTER EXIST FIBER CASE</t>
  </si>
  <si>
    <t>RMV TERMINATION PANEL OSP</t>
  </si>
  <si>
    <t>RMV-REPLACE FIBER CASE</t>
  </si>
  <si>
    <t>SPL SETUP-TEARDOWN AERIAL-FIB</t>
  </si>
  <si>
    <t>SPL SETUP-TEARDOWN BUILDING-FIB</t>
  </si>
  <si>
    <t>SPL SETUP-TEARDOWN HH-FIB</t>
  </si>
  <si>
    <t>SPL SETUP-TEARDOWN PED/CABINET-FIB</t>
  </si>
  <si>
    <t>SPL SETUP-TEARDOWN VAULT-MH-FIB</t>
  </si>
  <si>
    <t>SPLICE FIBER - MAINT WINDOW ADDER</t>
  </si>
  <si>
    <t>SPLICE FIBER FUSION 1-4</t>
  </si>
  <si>
    <t>SPLICE FIBER FUSION 13-24</t>
  </si>
  <si>
    <t>SPLICE FIBER FUSION 145-288</t>
  </si>
  <si>
    <t>SPLICE FIBER FUSION 25-48</t>
  </si>
  <si>
    <t>SPLICE FIBER FUSION 289-432</t>
  </si>
  <si>
    <t>SPLICE FIBER FUSION 433-864</t>
  </si>
  <si>
    <t>SPLICE FIBER FUSION 49-144</t>
  </si>
  <si>
    <t>SPLICE FIBER FUSION 5-12</t>
  </si>
  <si>
    <t>SPLICE FIBER FUSION &gt; 864</t>
  </si>
  <si>
    <t>SPLICE FIBER MECHANICAL</t>
  </si>
  <si>
    <t>SPLICE FIBER RIBBONIZE &lt;= 12 FIBERS</t>
  </si>
  <si>
    <t>SPLICE FIBER RIBBONS - MAINT ADDER</t>
  </si>
  <si>
    <t>SPLICE FIBER RIBBONS 13-24</t>
  </si>
  <si>
    <t>SPLICE FIBER RIBBONS 145-288</t>
  </si>
  <si>
    <t>SPLICE FIBER RIBBONS 25-36</t>
  </si>
  <si>
    <t>SPLICE FIBER RIBBONS 3-12</t>
  </si>
  <si>
    <t>SPLICE FIBER RIBBONS 37-72</t>
  </si>
  <si>
    <t>SPLICE FIBER RIBBONS 73-144</t>
  </si>
  <si>
    <t>SPLICE FIBER RIBBONS &lt;=2</t>
  </si>
  <si>
    <t>TERMINATION PANEL - OSP</t>
  </si>
  <si>
    <t>TEST FIBER - PWR-MTR OTDR 1-4</t>
  </si>
  <si>
    <t>TEST FIBER - PWR-MTR OTDR 13-24</t>
  </si>
  <si>
    <t>TEST FIBER - PWR-MTR OTDR 145-288</t>
  </si>
  <si>
    <t>TEST FIBER - PWR-MTR OTDR 25-48</t>
  </si>
  <si>
    <t>TEST FIBER - PWR-MTR OTDR 289-432</t>
  </si>
  <si>
    <t>TEST FIBER - PWR-MTR OTDR 49-144</t>
  </si>
  <si>
    <t>TEST FIBER - PWR-MTR OTDR 5-12</t>
  </si>
  <si>
    <t>TEST FIBER - PWR-MTR OTDR &gt; 432</t>
  </si>
  <si>
    <t>TEST FIBER ADDL WAVELENGTH ADDER</t>
  </si>
  <si>
    <t>TEST FIBER BARE 1-4</t>
  </si>
  <si>
    <t>TEST FIBER BARE 13-24</t>
  </si>
  <si>
    <t>TEST FIBER BARE 145-288</t>
  </si>
  <si>
    <t>TEST FIBER BARE 25-48</t>
  </si>
  <si>
    <t>TEST FIBER BARE 289-432</t>
  </si>
  <si>
    <t>TEST FIBER BARE 49-144</t>
  </si>
  <si>
    <t>TEST FIBER BARE 5-12</t>
  </si>
  <si>
    <t>TEST FIBER BARE &gt; 432</t>
  </si>
  <si>
    <t>TEST FIBER CD PMD ADDER</t>
  </si>
  <si>
    <t>UGB</t>
  </si>
  <si>
    <t>DEWATERING BASIC</t>
  </si>
  <si>
    <t>DEWATERING CAPTURE &amp; HAUL</t>
  </si>
  <si>
    <t>DEWATERING SPECIAL</t>
  </si>
  <si>
    <t>DUMP FEE</t>
  </si>
  <si>
    <t>EXPOSE EXIST HH-MH 12in ADDL</t>
  </si>
  <si>
    <t>EXPOSE EXIST HH-MH &lt;= 12in</t>
  </si>
  <si>
    <t>FIBER PL IN CONDUIT</t>
  </si>
  <si>
    <t>FIBER PL IN CONDUIT ADDL</t>
  </si>
  <si>
    <t>GROUND LAY CABLE</t>
  </si>
  <si>
    <t>RE-STENCIL FACILITY</t>
  </si>
  <si>
    <t>RE-TAG CABLES</t>
  </si>
  <si>
    <t>VAULT - TEST PURGE &amp; VENTILATE</t>
  </si>
  <si>
    <t>Quantity</t>
  </si>
  <si>
    <t>Extended</t>
  </si>
  <si>
    <t>Material</t>
  </si>
  <si>
    <t>Labor</t>
  </si>
  <si>
    <t>Minor</t>
  </si>
  <si>
    <t>Tax 8.25%</t>
  </si>
  <si>
    <t xml:space="preserve"> Total Per Unit</t>
  </si>
  <si>
    <t>Vendor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</si>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</sst>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&quot;$&quot;#,##0.00"/>
  </numFmts>
  <fonts count="4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0" xfId="0" applyFont="1" applyFill="1"/>
    <xf numFmtId="164" fontId="1" fillId="2" borderId="0" xfId="0" applyNumberFormat="1" applyFont="1" applyFill="1"/>
    <xf numFmtId="0" fontId="3" fillId="4" borderId="4" xfId="0" applyFont="1" applyFill="1" applyBorder="1" applyAlignment="1">
      <alignment wrapText="1"/>
    </xf>
    <xf numFmtId="0" fontId="3" fillId="5" borderId="3" xfId="0" applyFont="1" applyFill="1" applyBorder="1" applyAlignment="1">
      <alignment wrapText="1"/>
    </xf>
    <xf numFmtId="0" fontId="2" fillId="5" borderId="5" xfId="0" applyFont="1" applyFill="1" applyBorder="1" applyAlignment="1">
      <alignment horizontal="center" wrapText="1"/>
    </xf>
    <xf numFmtId="164" fontId="2" fillId="3" borderId="6" xfId="0" applyNumberFormat="1" applyFont="1" applyFill="1" applyBorder="1" applyAlignment="1">
      <alignment wrapText="1"/>
    </xf>
    <xf numFmtId="164" fontId="1" fillId="2" borderId="0" xfId="0" applyNumberFormat="1" applyFont="1" applyFill="1" applyProtection="1">
      <protection locked="0"/>
    </xf>
    <xf numFmtId="8" fontId="0" fillId="0" borderId="7" xfId="0" applyNumberFormat="1" applyBorder="1"/>
    <xf numFmtId="8" fontId="0" fillId="0" borderId="8" xfId="0" applyNumberFormat="1" applyBorder="1"/>
    <xf numFmtId="8" fontId="0" fillId="0" borderId="9" xfId="0" applyNumberFormat="1" applyBorder="1"/>
    <xf numFmtId="8" fontId="0" fillId="4" borderId="7" xfId="0" applyNumberFormat="1" applyFill="1" applyBorder="1"/>
    <xf numFmtId="8" fontId="0" fillId="4" borderId="10" xfId="0" applyNumberFormat="1" applyFill="1" applyBorder="1"/>
    <xf numFmtId="8" fontId="0" fillId="0" borderId="10" xfId="0" applyNumberFormat="1" applyBorder="1"/>
    <xf numFmtId="2" fontId="1" fillId="2" borderId="0" xfId="0" applyNumberFormat="1" applyFont="1" applyFill="1" applyProtection="1">
      <protection locked="0"/>
    </xf>
    <xf numFmtId="2" fontId="1" fillId="2" borderId="0" xfId="0" applyNumberFormat="1" applyFont="1" applyFill="1"/>
    <xf numFmtId="2" fontId="0" fillId="0" borderId="0" xfId="0" applyNumberFormat="1"/>
    <xf numFmtId="2" fontId="1" fillId="2" borderId="7" xfId="0" applyNumberFormat="1" applyFont="1" applyFill="1" applyBorder="1" applyProtection="1">
      <protection locked="0"/>
    </xf>
    <xf numFmtId="2" fontId="0" fillId="0" borderId="7" xfId="0" applyNumberFormat="1" applyBorder="1"/>
    <xf numFmtId="0" fontId="0" fillId="2" borderId="4" xfId="0" applyFill="1" applyBorder="1"/>
    <xf numFmtId="164" fontId="1" fillId="2" borderId="4" xfId="0" applyNumberFormat="1" applyFont="1" applyFill="1" applyBorder="1" applyProtection="1">
      <protection locked="0"/>
    </xf>
    <xf numFmtId="0" fontId="1" fillId="6" borderId="0" xfId="0" applyFont="1" applyFill="1"/>
    <xf numFmtId="0" fontId="2" fillId="3" borderId="1" xfId="0" applyFont="1" applyFill="1" applyBorder="1"/>
    <xf numFmtId="0" fontId="2" fillId="3" borderId="2" xfId="0" applyFont="1" applyFill="1" applyBorder="1"/>
    <xf numFmtId="0" fontId="2" fillId="3" borderId="1" xfId="0" applyFont="1" applyFill="1" applyBorder="1" applyAlignment="1">
      <alignment horizontal="left"/>
    </xf>
    <xf numFmtId="0" fontId="2" fillId="3" borderId="3" xfId="0" applyFont="1" applyFill="1" applyBorder="1" applyAlignment="1">
      <alignment horizontal="left"/>
    </xf>
    <xf numFmtId="0" fontId="2" fillId="3" borderId="2" xfId="0" applyFont="1" applyFill="1" applyBorder="1" applyAlignment="1">
      <alignment horizontal="left"/>
    </xf>
  </cellXfs>
  <cellStyles count="1">
    <cellStyle name="Normal" xfId="0" builtinId="0"/>
  </cellStyles>
  <dxfs count="2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76200</xdr:rowOff>
    </xdr:from>
    <xdr:to>
      <xdr:col>4</xdr:col>
      <xdr:colOff>192599</xdr:colOff>
      <xdr:row>1</xdr:row>
      <xdr:rowOff>314325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C8080E8-82C6-43B5-BF11-9DD033BB7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6200"/>
          <a:ext cx="4869374" cy="6286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JBEHR2\Desktop\Michigan%20Drop\Bid%20and%20Negotiation%20Files\2020LE000107%20LE%20Initial%20Contract%20Comparison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L:\Bidmaster\RFPs\SPLICING\2022LE000048%20-%202022-2024%20DALLASOKLAHOMA%20-%20SPLICE%20(ENTERPRISE)\Bid%20and%20Negotiation%20Files\2022LE000048%20Bid%20Review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 Summary"/>
      <sheetName val="Rate Card"/>
      <sheetName val="Cost Comparison"/>
      <sheetName val="Price Index"/>
      <sheetName val="Weighted Avg. wo Outliers"/>
      <sheetName val="Incumbent 1 YR Usage"/>
      <sheetName val="CONTRACT COMPARISON"/>
      <sheetName val="Drop Down 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">
          <cell r="C1" t="str">
            <v>Select Vendor Name</v>
          </cell>
        </row>
        <row r="2">
          <cell r="C2" t="str">
            <v>Precision Utilities Group, Inc.</v>
          </cell>
        </row>
        <row r="3">
          <cell r="C3" t="str">
            <v>Holtger Bros., Inc.</v>
          </cell>
        </row>
        <row r="4">
          <cell r="C4" t="str">
            <v/>
          </cell>
        </row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0">
          <cell r="C10" t="str">
            <v/>
          </cell>
        </row>
        <row r="11">
          <cell r="C11" t="str">
            <v/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te Card"/>
      <sheetName val="Bid Review"/>
      <sheetName val="Bid"/>
      <sheetName val="Price Index"/>
      <sheetName val="Baseline Pricing"/>
      <sheetName val="Usage"/>
      <sheetName val="CONTRACT COMPARISON"/>
      <sheetName val="Drop Down 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">
          <cell r="C1" t="str">
            <v>Select Vendor Name</v>
          </cell>
        </row>
        <row r="2">
          <cell r="C2" t="str">
            <v xml:space="preserve"> Continental Telecommunications LLC</v>
          </cell>
        </row>
        <row r="3">
          <cell r="C3" t="str">
            <v xml:space="preserve"> B and M Telecom, Inc.</v>
          </cell>
        </row>
        <row r="4">
          <cell r="C4" t="str">
            <v/>
          </cell>
        </row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0">
          <cell r="C10" t="str">
            <v/>
          </cell>
        </row>
        <row r="11">
          <cell r="C11" t="str">
            <v/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C205F-4DDB-487D-ADD3-CE23F822DDEB}">
  <sheetPr codeName="Sheet1"/>
  <dimension ref="A1:M256"/>
  <sheetViews>
    <sheetView tabSelected="1" zoomScaleNormal="100" zoomScaleSheetLayoutView="93" workbookViewId="0">
      <pane ySplit="1" topLeftCell="A2" activePane="bottomLeft" state="frozen"/>
      <selection activeCell="C1" sqref="C1"/>
      <selection pane="bottomLeft" activeCell="E15" sqref="E15"/>
    </sheetView>
  </sheetViews>
  <sheetFormatPr defaultColWidth="9.140625" defaultRowHeight="12.75" x14ac:dyDescent="0.2"/>
  <cols>
    <col min="1" max="1" width="9.140625" style="1"/>
    <col min="2" max="2" width="8.7109375" style="1" bestFit="1" customWidth="1"/>
    <col min="3" max="3" width="45" style="1" customWidth="1"/>
    <col min="4" max="4" width="7.140625" style="1" customWidth="1"/>
    <col min="5" max="6" width="9.140625" style="1"/>
    <col min="7" max="7" width="11.5703125" style="1" customWidth="1"/>
    <col min="8" max="9" width="9.140625" style="1"/>
    <col min="10" max="10" width="11.140625" style="1" customWidth="1"/>
    <col min="11" max="11" width="9.140625" style="1" customWidth="1"/>
    <col min="12" max="12" width="10.7109375" style="7" bestFit="1" customWidth="1"/>
    <col min="13" max="13" width="10.28515625" style="2" bestFit="1" customWidth="1"/>
    <col min="14" max="16384" width="9.140625" style="1"/>
  </cols>
  <sheetData>
    <row r="1" spans="1:13" ht="30.75" customHeight="1" x14ac:dyDescent="0.2">
      <c r="L1" s="2"/>
    </row>
    <row r="2" spans="1:13" ht="30.75" customHeight="1" thickBot="1" x14ac:dyDescent="0.25">
      <c r="L2" s="2"/>
    </row>
    <row r="3" spans="1:13" ht="21" customHeight="1" thickBot="1" x14ac:dyDescent="0.25">
      <c r="A3" s="22" t="s">
        <v>0</v>
      </c>
      <c r="B3" s="23"/>
      <c r="C3" s="24" t="s">
        <v>1</v>
      </c>
      <c r="D3" s="25"/>
      <c r="E3" s="25"/>
      <c r="F3" s="25"/>
      <c r="G3" s="25"/>
      <c r="H3" s="25"/>
      <c r="I3" s="25"/>
      <c r="J3" s="25"/>
      <c r="K3" s="26"/>
      <c r="L3" s="1"/>
      <c r="M3" s="1"/>
    </row>
    <row r="4" spans="1:13" ht="26.25" thickBot="1" x14ac:dyDescent="0.25">
      <c r="A4" s="3" t="s">
        <v>2</v>
      </c>
      <c r="B4" s="3" t="s">
        <v>3</v>
      </c>
      <c r="C4" s="3" t="s">
        <v>4</v>
      </c>
      <c r="D4" s="4" t="s">
        <v>5</v>
      </c>
      <c r="E4" s="5" t="s">
        <v>271</v>
      </c>
      <c r="F4" s="5" t="s">
        <v>270</v>
      </c>
      <c r="G4" s="5" t="s">
        <v>275</v>
      </c>
      <c r="H4" s="5" t="s">
        <v>272</v>
      </c>
      <c r="I4" s="5" t="s">
        <v>273</v>
      </c>
      <c r="J4" s="5" t="s">
        <v>274</v>
      </c>
      <c r="K4" s="6" t="s">
        <v>268</v>
      </c>
      <c r="L4" s="6" t="s">
        <v>269</v>
      </c>
      <c r="M4" s="1"/>
    </row>
    <row r="5" spans="1:13" x14ac:dyDescent="0.2">
      <c r="A5" s="1">
        <v>1</v>
      </c>
      <c r="B5" s="1" t="s">
        <v>196</v>
      </c>
      <c r="C5" s="1" t="s">
        <v>197</v>
      </c>
      <c r="D5" s="1" t="s">
        <v>6</v>
      </c>
      <c r="E5" s="7">
        <v>20.75</v>
      </c>
      <c r="F5" s="9">
        <v>0</v>
      </c>
      <c r="G5" s="9">
        <v>0</v>
      </c>
      <c r="H5" s="9">
        <v>0</v>
      </c>
      <c r="I5" s="9">
        <f>(F5+G5+H5)*0.0825</f>
        <v>0</v>
      </c>
      <c r="J5" s="10">
        <f>E5+F5+G5+H5+I5</f>
        <v>20.75</v>
      </c>
      <c r="K5" s="14"/>
      <c r="L5" s="2">
        <f>J5*K5</f>
        <v>0</v>
      </c>
      <c r="M5" s="1"/>
    </row>
    <row r="6" spans="1:13" x14ac:dyDescent="0.2">
      <c r="A6" s="1">
        <v>2</v>
      </c>
      <c r="B6" s="1" t="s">
        <v>24</v>
      </c>
      <c r="C6" s="1" t="s">
        <v>26</v>
      </c>
      <c r="D6" s="1" t="s">
        <v>25</v>
      </c>
      <c r="E6" s="7"/>
      <c r="F6" s="9">
        <v>0</v>
      </c>
      <c r="G6" s="9">
        <v>0</v>
      </c>
      <c r="H6" s="9">
        <v>1.78</v>
      </c>
      <c r="I6" s="9">
        <f>(F6+G6+H6)*0.0825</f>
        <v>0.14685000000000001</v>
      </c>
      <c r="J6" s="10">
        <f>E6+F6+G6+H6+I6</f>
        <v>1.92685</v>
      </c>
      <c r="K6" s="14"/>
      <c r="L6" s="2">
        <f>J6*K6</f>
        <v>0</v>
      </c>
      <c r="M6" s="1"/>
    </row>
    <row r="7" spans="1:13" x14ac:dyDescent="0.2">
      <c r="A7" s="1">
        <v>3</v>
      </c>
      <c r="B7" s="1" t="s">
        <v>24</v>
      </c>
      <c r="C7" s="1" t="s">
        <v>27</v>
      </c>
      <c r="D7" s="1" t="s">
        <v>25</v>
      </c>
      <c r="E7" s="7"/>
      <c r="F7" s="11">
        <v>0</v>
      </c>
      <c r="G7" s="11">
        <v>0</v>
      </c>
      <c r="H7" s="11">
        <v>1.78</v>
      </c>
      <c r="I7" s="11">
        <f>(F7+G7+H7)*0.0825</f>
        <v>0.14685000000000001</v>
      </c>
      <c r="J7" s="12">
        <f>E7+F7+G7+H7+I7</f>
        <v>1.92685</v>
      </c>
      <c r="K7" s="14"/>
      <c r="L7" s="2">
        <f>J7*K7</f>
        <v>0</v>
      </c>
      <c r="M7" s="1"/>
    </row>
    <row r="8" spans="1:13" x14ac:dyDescent="0.2">
      <c r="A8" s="1">
        <v>4</v>
      </c>
      <c r="B8" s="1" t="s">
        <v>24</v>
      </c>
      <c r="C8" s="1" t="s">
        <v>28</v>
      </c>
      <c r="D8" s="1" t="s">
        <v>25</v>
      </c>
      <c r="E8" s="7"/>
      <c r="F8" s="9">
        <v>0</v>
      </c>
      <c r="G8" s="9">
        <v>162.88999999999999</v>
      </c>
      <c r="H8" s="9">
        <v>52.83</v>
      </c>
      <c r="I8" s="9">
        <f>(F8+G8+H8)*0.0825</f>
        <v>17.796899999999997</v>
      </c>
      <c r="J8" s="10">
        <f>E8+F8+G8+H8+I8</f>
        <v>233.51689999999996</v>
      </c>
      <c r="K8" s="14"/>
      <c r="L8" s="2">
        <f>J8*K8</f>
        <v>0</v>
      </c>
      <c r="M8" s="1"/>
    </row>
    <row r="9" spans="1:13" x14ac:dyDescent="0.2">
      <c r="A9" s="1">
        <v>5</v>
      </c>
      <c r="B9" s="1" t="s">
        <v>24</v>
      </c>
      <c r="C9" s="1" t="s">
        <v>29</v>
      </c>
      <c r="D9" s="1" t="s">
        <v>25</v>
      </c>
      <c r="E9" s="7"/>
      <c r="F9" s="11">
        <v>0</v>
      </c>
      <c r="G9" s="11">
        <v>235.26</v>
      </c>
      <c r="H9" s="11">
        <v>28.39</v>
      </c>
      <c r="I9" s="11">
        <f>(F9+G9+H9)*0.0825</f>
        <v>21.751124999999998</v>
      </c>
      <c r="J9" s="12">
        <f>E9+F9+G9+H9+I9</f>
        <v>285.40112499999998</v>
      </c>
      <c r="K9" s="14"/>
      <c r="L9" s="2">
        <f>J9*K9</f>
        <v>0</v>
      </c>
      <c r="M9" s="1"/>
    </row>
    <row r="10" spans="1:13" x14ac:dyDescent="0.2">
      <c r="A10" s="1">
        <v>6</v>
      </c>
      <c r="B10" s="1" t="s">
        <v>24</v>
      </c>
      <c r="C10" s="1" t="s">
        <v>30</v>
      </c>
      <c r="D10" s="1" t="s">
        <v>25</v>
      </c>
      <c r="E10" s="7"/>
      <c r="F10" s="8">
        <v>0</v>
      </c>
      <c r="G10" s="8">
        <v>245.43</v>
      </c>
      <c r="H10" s="8">
        <v>27.51</v>
      </c>
      <c r="I10" s="8">
        <f>(F10+G10+H10)*0.0825</f>
        <v>22.51755</v>
      </c>
      <c r="J10" s="13">
        <f>E10+F10+G10+H10+I10</f>
        <v>295.45754999999997</v>
      </c>
      <c r="K10" s="14"/>
      <c r="L10" s="2">
        <f>J10*K10</f>
        <v>0</v>
      </c>
      <c r="M10" s="1"/>
    </row>
    <row r="11" spans="1:13" x14ac:dyDescent="0.2">
      <c r="A11" s="1">
        <v>7</v>
      </c>
      <c r="B11" s="1" t="s">
        <v>24</v>
      </c>
      <c r="C11" s="1" t="s">
        <v>31</v>
      </c>
      <c r="D11" s="1" t="s">
        <v>25</v>
      </c>
      <c r="E11" s="7"/>
      <c r="F11" s="11">
        <v>0</v>
      </c>
      <c r="G11" s="11">
        <v>376.97</v>
      </c>
      <c r="H11" s="11">
        <v>28.33</v>
      </c>
      <c r="I11" s="11">
        <f>(F11+G11+H11)*0.0825</f>
        <v>33.437250000000006</v>
      </c>
      <c r="J11" s="12">
        <f>E11+F11+G11+H11+I11</f>
        <v>438.73725000000002</v>
      </c>
      <c r="K11" s="14"/>
      <c r="L11" s="2">
        <f>J11*K11</f>
        <v>0</v>
      </c>
      <c r="M11" s="1"/>
    </row>
    <row r="12" spans="1:13" x14ac:dyDescent="0.2">
      <c r="A12" s="1">
        <v>8</v>
      </c>
      <c r="B12" s="1" t="s">
        <v>24</v>
      </c>
      <c r="C12" s="1" t="s">
        <v>32</v>
      </c>
      <c r="D12" s="1" t="s">
        <v>25</v>
      </c>
      <c r="E12" s="7"/>
      <c r="F12" s="9">
        <v>0</v>
      </c>
      <c r="G12" s="9">
        <v>186.84</v>
      </c>
      <c r="H12" s="9">
        <v>28.33</v>
      </c>
      <c r="I12" s="9">
        <f>(F12+G12+H12)*0.0825</f>
        <v>17.751525000000001</v>
      </c>
      <c r="J12" s="10">
        <f>E12+F12+G12+H12+I12</f>
        <v>232.92152500000003</v>
      </c>
      <c r="K12" s="14"/>
      <c r="L12" s="2">
        <f>J12*K12</f>
        <v>0</v>
      </c>
      <c r="M12" s="1"/>
    </row>
    <row r="13" spans="1:13" x14ac:dyDescent="0.2">
      <c r="A13" s="1">
        <v>9</v>
      </c>
      <c r="B13" s="1" t="s">
        <v>24</v>
      </c>
      <c r="C13" s="1" t="s">
        <v>33</v>
      </c>
      <c r="D13" s="1" t="s">
        <v>25</v>
      </c>
      <c r="E13" s="7"/>
      <c r="F13" s="11">
        <v>0</v>
      </c>
      <c r="G13" s="11">
        <v>546.16</v>
      </c>
      <c r="H13" s="11">
        <v>28.33</v>
      </c>
      <c r="I13" s="11">
        <f>(F13+G13+H13)*0.0825</f>
        <v>47.395425000000003</v>
      </c>
      <c r="J13" s="12">
        <f>E13+F13+G13+H13+I13</f>
        <v>621.88542500000005</v>
      </c>
      <c r="K13" s="14"/>
      <c r="L13" s="2">
        <f>J13*K13</f>
        <v>0</v>
      </c>
      <c r="M13" s="1"/>
    </row>
    <row r="14" spans="1:13" x14ac:dyDescent="0.2">
      <c r="A14" s="1">
        <v>10</v>
      </c>
      <c r="B14" s="1" t="s">
        <v>24</v>
      </c>
      <c r="C14" s="1" t="s">
        <v>34</v>
      </c>
      <c r="D14" s="1" t="s">
        <v>25</v>
      </c>
      <c r="E14" s="7"/>
      <c r="F14" s="8">
        <v>0</v>
      </c>
      <c r="G14" s="8">
        <v>485.19</v>
      </c>
      <c r="H14" s="8">
        <v>28.33</v>
      </c>
      <c r="I14" s="8">
        <f>(F14+G14+H14)*0.0825</f>
        <v>42.365400000000001</v>
      </c>
      <c r="J14" s="13">
        <f>E14+F14+G14+H14+I14</f>
        <v>555.8854</v>
      </c>
      <c r="K14" s="14"/>
      <c r="L14" s="2">
        <f>J14*K14</f>
        <v>0</v>
      </c>
      <c r="M14" s="1"/>
    </row>
    <row r="15" spans="1:13" x14ac:dyDescent="0.2">
      <c r="A15" s="1">
        <v>11</v>
      </c>
      <c r="B15" s="1" t="s">
        <v>24</v>
      </c>
      <c r="C15" s="1" t="s">
        <v>35</v>
      </c>
      <c r="D15" s="1" t="s">
        <v>25</v>
      </c>
      <c r="E15" s="7"/>
      <c r="F15" s="11">
        <v>0</v>
      </c>
      <c r="G15" s="11">
        <v>791.7</v>
      </c>
      <c r="H15" s="11">
        <v>28.33</v>
      </c>
      <c r="I15" s="11">
        <f>(F15+G15+H15)*0.0825</f>
        <v>67.65247500000001</v>
      </c>
      <c r="J15" s="12">
        <f>E15+F15+G15+H15+I15</f>
        <v>887.68247500000007</v>
      </c>
      <c r="K15" s="14"/>
      <c r="L15" s="2">
        <f>J15*K15</f>
        <v>0</v>
      </c>
      <c r="M15" s="1"/>
    </row>
    <row r="16" spans="1:13" x14ac:dyDescent="0.2">
      <c r="A16" s="1">
        <v>12</v>
      </c>
      <c r="B16" s="1" t="s">
        <v>24</v>
      </c>
      <c r="C16" s="1" t="s">
        <v>36</v>
      </c>
      <c r="D16" s="1" t="s">
        <v>25</v>
      </c>
      <c r="E16" s="7"/>
      <c r="F16" s="9">
        <v>0</v>
      </c>
      <c r="G16" s="9">
        <v>100.62</v>
      </c>
      <c r="H16" s="9">
        <v>80.81</v>
      </c>
      <c r="I16" s="9">
        <f>(F16+G16+H16)*0.0825</f>
        <v>14.967975000000001</v>
      </c>
      <c r="J16" s="10">
        <f>E16+F16+G16+H16+I16</f>
        <v>196.397975</v>
      </c>
      <c r="K16" s="14"/>
      <c r="L16" s="2">
        <f>J16*K16</f>
        <v>0</v>
      </c>
      <c r="M16" s="1"/>
    </row>
    <row r="17" spans="1:13" x14ac:dyDescent="0.2">
      <c r="A17" s="1">
        <v>13</v>
      </c>
      <c r="B17" s="1" t="s">
        <v>24</v>
      </c>
      <c r="C17" s="1" t="s">
        <v>37</v>
      </c>
      <c r="D17" s="1" t="s">
        <v>25</v>
      </c>
      <c r="E17" s="7"/>
      <c r="F17" s="11">
        <v>0</v>
      </c>
      <c r="G17" s="11">
        <v>88.52</v>
      </c>
      <c r="H17" s="11">
        <v>60.04</v>
      </c>
      <c r="I17" s="11">
        <f>(F17+G17+H17)*0.0825</f>
        <v>12.256200000000002</v>
      </c>
      <c r="J17" s="12">
        <f>E17+F17+G17+H17+I17</f>
        <v>160.81620000000001</v>
      </c>
      <c r="K17" s="14"/>
      <c r="L17" s="2">
        <f>J17*K17</f>
        <v>0</v>
      </c>
      <c r="M17" s="1"/>
    </row>
    <row r="18" spans="1:13" x14ac:dyDescent="0.2">
      <c r="A18" s="1">
        <v>14</v>
      </c>
      <c r="B18" s="1" t="s">
        <v>24</v>
      </c>
      <c r="C18" s="1" t="s">
        <v>38</v>
      </c>
      <c r="D18" s="1" t="s">
        <v>25</v>
      </c>
      <c r="E18" s="7"/>
      <c r="F18" s="8">
        <v>0</v>
      </c>
      <c r="G18" s="8">
        <v>189.91</v>
      </c>
      <c r="H18" s="8">
        <v>60.04</v>
      </c>
      <c r="I18" s="8">
        <f>(F18+G18+H18)*0.0825</f>
        <v>20.620875000000002</v>
      </c>
      <c r="J18" s="13">
        <f>E18+F18+G18+H18+I18</f>
        <v>270.570875</v>
      </c>
      <c r="K18" s="14"/>
      <c r="L18" s="2">
        <f>J18*K18</f>
        <v>0</v>
      </c>
      <c r="M18" s="1"/>
    </row>
    <row r="19" spans="1:13" x14ac:dyDescent="0.2">
      <c r="A19" s="1">
        <v>15</v>
      </c>
      <c r="B19" s="1" t="s">
        <v>24</v>
      </c>
      <c r="C19" s="1" t="s">
        <v>39</v>
      </c>
      <c r="D19" s="1" t="s">
        <v>25</v>
      </c>
      <c r="E19" s="7"/>
      <c r="F19" s="11">
        <v>0</v>
      </c>
      <c r="G19" s="11">
        <v>146.27000000000001</v>
      </c>
      <c r="H19" s="11">
        <v>60.04</v>
      </c>
      <c r="I19" s="11">
        <f>(F19+G19+H19)*0.0825</f>
        <v>17.020575000000001</v>
      </c>
      <c r="J19" s="12">
        <f>E19+F19+G19+H19+I19</f>
        <v>223.33057500000001</v>
      </c>
      <c r="K19" s="14"/>
      <c r="L19" s="2">
        <f>J19*K19</f>
        <v>0</v>
      </c>
      <c r="M19" s="1"/>
    </row>
    <row r="20" spans="1:13" x14ac:dyDescent="0.2">
      <c r="A20" s="1">
        <v>16</v>
      </c>
      <c r="B20" s="1" t="s">
        <v>24</v>
      </c>
      <c r="C20" s="1" t="s">
        <v>40</v>
      </c>
      <c r="D20" s="1" t="s">
        <v>25</v>
      </c>
      <c r="E20" s="7"/>
      <c r="F20" s="9">
        <v>0</v>
      </c>
      <c r="G20" s="9">
        <v>241.56</v>
      </c>
      <c r="H20" s="9">
        <v>60.04</v>
      </c>
      <c r="I20" s="9">
        <f>(F20+G20+H20)*0.0825</f>
        <v>24.882000000000001</v>
      </c>
      <c r="J20" s="10">
        <f>E20+F20+G20+H20+I20</f>
        <v>326.48200000000003</v>
      </c>
      <c r="K20" s="14"/>
      <c r="L20" s="2">
        <f>J20*K20</f>
        <v>0</v>
      </c>
      <c r="M20" s="1"/>
    </row>
    <row r="21" spans="1:13" x14ac:dyDescent="0.2">
      <c r="A21" s="1">
        <v>17</v>
      </c>
      <c r="B21" s="1" t="s">
        <v>24</v>
      </c>
      <c r="C21" s="1" t="s">
        <v>41</v>
      </c>
      <c r="D21" s="1" t="s">
        <v>25</v>
      </c>
      <c r="E21" s="7"/>
      <c r="F21" s="11">
        <v>0</v>
      </c>
      <c r="G21" s="11">
        <v>244.48</v>
      </c>
      <c r="H21" s="11">
        <v>80.81</v>
      </c>
      <c r="I21" s="11">
        <f>(F21+G21+H21)*0.0825</f>
        <v>26.836424999999998</v>
      </c>
      <c r="J21" s="12">
        <f>E21+F21+G21+H21+I21</f>
        <v>352.12642499999998</v>
      </c>
      <c r="K21" s="14"/>
      <c r="L21" s="2">
        <f>J21*K21</f>
        <v>0</v>
      </c>
      <c r="M21" s="1"/>
    </row>
    <row r="22" spans="1:13" x14ac:dyDescent="0.2">
      <c r="A22" s="1">
        <v>18</v>
      </c>
      <c r="B22" s="1" t="s">
        <v>24</v>
      </c>
      <c r="C22" s="1" t="s">
        <v>42</v>
      </c>
      <c r="D22" s="1" t="s">
        <v>25</v>
      </c>
      <c r="E22" s="7"/>
      <c r="F22" s="8">
        <v>0</v>
      </c>
      <c r="G22" s="8">
        <v>140.46</v>
      </c>
      <c r="H22" s="8">
        <v>60.04</v>
      </c>
      <c r="I22" s="8">
        <f>(F22+G22+H22)*0.0825</f>
        <v>16.541250000000002</v>
      </c>
      <c r="J22" s="13">
        <f>E22+F22+G22+H22+I22</f>
        <v>217.04124999999999</v>
      </c>
      <c r="K22" s="14"/>
      <c r="L22" s="2">
        <f>J22*K22</f>
        <v>0</v>
      </c>
      <c r="M22" s="1"/>
    </row>
    <row r="23" spans="1:13" x14ac:dyDescent="0.2">
      <c r="A23" s="1">
        <v>19</v>
      </c>
      <c r="B23" s="1" t="s">
        <v>24</v>
      </c>
      <c r="C23" s="1" t="s">
        <v>43</v>
      </c>
      <c r="D23" s="1" t="s">
        <v>25</v>
      </c>
      <c r="E23" s="7"/>
      <c r="F23" s="11">
        <v>0</v>
      </c>
      <c r="G23" s="11">
        <v>385.92</v>
      </c>
      <c r="H23" s="11">
        <v>80.81</v>
      </c>
      <c r="I23" s="11">
        <f>(F23+G23+H23)*0.0825</f>
        <v>38.505225000000003</v>
      </c>
      <c r="J23" s="12">
        <f>E23+F23+G23+H23+I23</f>
        <v>505.23522500000001</v>
      </c>
      <c r="K23" s="14"/>
      <c r="L23" s="2">
        <f>J23*K23</f>
        <v>0</v>
      </c>
      <c r="M23" s="1"/>
    </row>
    <row r="24" spans="1:13" x14ac:dyDescent="0.2">
      <c r="A24" s="1">
        <v>20</v>
      </c>
      <c r="B24" s="1" t="s">
        <v>24</v>
      </c>
      <c r="C24" s="1" t="s">
        <v>44</v>
      </c>
      <c r="D24" s="1" t="s">
        <v>25</v>
      </c>
      <c r="E24" s="7"/>
      <c r="F24" s="9">
        <v>0</v>
      </c>
      <c r="G24" s="9">
        <v>237.02</v>
      </c>
      <c r="H24" s="9">
        <v>80.81</v>
      </c>
      <c r="I24" s="9">
        <f>(F24+G24+H24)*0.0825</f>
        <v>26.220975000000006</v>
      </c>
      <c r="J24" s="10">
        <f>E24+F24+G24+H24+I24</f>
        <v>344.05097500000005</v>
      </c>
      <c r="K24" s="14"/>
      <c r="L24" s="2">
        <f>J24*K24</f>
        <v>0</v>
      </c>
      <c r="M24" s="1"/>
    </row>
    <row r="25" spans="1:13" x14ac:dyDescent="0.2">
      <c r="A25" s="1">
        <v>21</v>
      </c>
      <c r="B25" s="1" t="s">
        <v>24</v>
      </c>
      <c r="C25" s="1" t="s">
        <v>45</v>
      </c>
      <c r="D25" s="1" t="s">
        <v>25</v>
      </c>
      <c r="E25" s="7"/>
      <c r="F25" s="11">
        <v>0</v>
      </c>
      <c r="G25" s="11">
        <v>256.35000000000002</v>
      </c>
      <c r="H25" s="11">
        <v>60.04</v>
      </c>
      <c r="I25" s="11">
        <f>(F25+G25+H25)*0.0825</f>
        <v>26.102175000000006</v>
      </c>
      <c r="J25" s="12">
        <f>E25+F25+G25+H25+I25</f>
        <v>342.49217500000003</v>
      </c>
      <c r="K25" s="14"/>
      <c r="L25" s="2">
        <f>J25*K25</f>
        <v>0</v>
      </c>
      <c r="M25" s="1"/>
    </row>
    <row r="26" spans="1:13" x14ac:dyDescent="0.2">
      <c r="A26" s="1">
        <v>22</v>
      </c>
      <c r="B26" s="1" t="s">
        <v>24</v>
      </c>
      <c r="C26" s="1" t="s">
        <v>46</v>
      </c>
      <c r="D26" s="1" t="s">
        <v>25</v>
      </c>
      <c r="E26" s="7"/>
      <c r="F26" s="8">
        <v>0</v>
      </c>
      <c r="G26" s="8">
        <v>520.01</v>
      </c>
      <c r="H26" s="8">
        <v>80.81</v>
      </c>
      <c r="I26" s="8">
        <f>(F26+G26+H26)*0.0825</f>
        <v>49.56765</v>
      </c>
      <c r="J26" s="13">
        <f>E26+F26+G26+H26+I26</f>
        <v>650.38764999999989</v>
      </c>
      <c r="K26" s="14"/>
      <c r="L26" s="2">
        <f>J26*K26</f>
        <v>0</v>
      </c>
      <c r="M26" s="1"/>
    </row>
    <row r="27" spans="1:13" x14ac:dyDescent="0.2">
      <c r="A27" s="1">
        <v>23</v>
      </c>
      <c r="B27" s="1" t="s">
        <v>24</v>
      </c>
      <c r="C27" s="1" t="s">
        <v>47</v>
      </c>
      <c r="D27" s="1" t="s">
        <v>25</v>
      </c>
      <c r="E27" s="7"/>
      <c r="F27" s="11">
        <v>0</v>
      </c>
      <c r="G27" s="11">
        <v>448.04</v>
      </c>
      <c r="H27" s="11">
        <v>80.81</v>
      </c>
      <c r="I27" s="11">
        <f>(F27+G27+H27)*0.0825</f>
        <v>43.630125000000007</v>
      </c>
      <c r="J27" s="12">
        <f>E27+F27+G27+H27+I27</f>
        <v>572.48012500000004</v>
      </c>
      <c r="K27" s="14"/>
      <c r="L27" s="2">
        <f>J27*K27</f>
        <v>0</v>
      </c>
      <c r="M27" s="1"/>
    </row>
    <row r="28" spans="1:13" x14ac:dyDescent="0.2">
      <c r="A28" s="1">
        <v>24</v>
      </c>
      <c r="B28" s="1" t="s">
        <v>24</v>
      </c>
      <c r="C28" s="1" t="s">
        <v>48</v>
      </c>
      <c r="D28" s="1" t="s">
        <v>25</v>
      </c>
      <c r="E28" s="7"/>
      <c r="F28" s="9">
        <v>0</v>
      </c>
      <c r="G28" s="9">
        <v>670.73</v>
      </c>
      <c r="H28" s="9">
        <v>81.91</v>
      </c>
      <c r="I28" s="9">
        <f>(F28+G28+H28)*0.0825</f>
        <v>62.092800000000004</v>
      </c>
      <c r="J28" s="10">
        <f>E28+F28+G28+H28+I28</f>
        <v>814.7328</v>
      </c>
      <c r="K28" s="14"/>
      <c r="L28" s="2">
        <f>J28*K28</f>
        <v>0</v>
      </c>
      <c r="M28" s="1"/>
    </row>
    <row r="29" spans="1:13" x14ac:dyDescent="0.2">
      <c r="A29" s="1">
        <v>25</v>
      </c>
      <c r="B29" s="1" t="s">
        <v>24</v>
      </c>
      <c r="C29" s="1" t="s">
        <v>49</v>
      </c>
      <c r="D29" s="1" t="s">
        <v>25</v>
      </c>
      <c r="E29" s="7"/>
      <c r="F29" s="11">
        <v>0</v>
      </c>
      <c r="G29" s="11">
        <v>156.38</v>
      </c>
      <c r="H29" s="11">
        <v>27.24</v>
      </c>
      <c r="I29" s="11">
        <f>(F29+G29+H29)*0.0825</f>
        <v>15.148650000000002</v>
      </c>
      <c r="J29" s="12">
        <f>E29+F29+G29+H29+I29</f>
        <v>198.76865000000001</v>
      </c>
      <c r="K29" s="14"/>
      <c r="L29" s="2">
        <f>J29*K29</f>
        <v>0</v>
      </c>
      <c r="M29" s="1"/>
    </row>
    <row r="30" spans="1:13" x14ac:dyDescent="0.2">
      <c r="A30" s="1">
        <v>26</v>
      </c>
      <c r="B30" s="1" t="s">
        <v>24</v>
      </c>
      <c r="C30" s="1" t="s">
        <v>50</v>
      </c>
      <c r="D30" s="1" t="s">
        <v>25</v>
      </c>
      <c r="E30" s="7"/>
      <c r="F30" s="11">
        <v>0</v>
      </c>
      <c r="G30" s="11">
        <v>162.88999999999999</v>
      </c>
      <c r="H30" s="11">
        <v>19.579999999999998</v>
      </c>
      <c r="I30" s="11">
        <f>(F30+G30+H30)*0.0825</f>
        <v>15.053774999999998</v>
      </c>
      <c r="J30" s="12">
        <f>E30+F30+G30+H30+I30</f>
        <v>197.52377499999997</v>
      </c>
      <c r="K30" s="14"/>
      <c r="L30" s="2">
        <f>J30*K30</f>
        <v>0</v>
      </c>
      <c r="M30" s="1"/>
    </row>
    <row r="31" spans="1:13" x14ac:dyDescent="0.2">
      <c r="A31" s="1">
        <v>27</v>
      </c>
      <c r="B31" s="1" t="s">
        <v>24</v>
      </c>
      <c r="C31" s="1" t="s">
        <v>51</v>
      </c>
      <c r="D31" s="1" t="s">
        <v>25</v>
      </c>
      <c r="E31" s="7"/>
      <c r="F31" s="9">
        <v>0</v>
      </c>
      <c r="G31" s="9">
        <v>235.26</v>
      </c>
      <c r="H31" s="9">
        <v>0.17</v>
      </c>
      <c r="I31" s="9">
        <f>(F31+G31+H31)*0.0825</f>
        <v>19.422974999999997</v>
      </c>
      <c r="J31" s="10">
        <f>E31+F31+G31+H31+I31</f>
        <v>254.85297499999999</v>
      </c>
      <c r="K31" s="14"/>
      <c r="L31" s="2">
        <f>J31*K31</f>
        <v>0</v>
      </c>
      <c r="M31" s="1"/>
    </row>
    <row r="32" spans="1:13" x14ac:dyDescent="0.2">
      <c r="A32" s="1">
        <v>28</v>
      </c>
      <c r="B32" s="1" t="s">
        <v>24</v>
      </c>
      <c r="C32" s="1" t="s">
        <v>52</v>
      </c>
      <c r="D32" s="1" t="s">
        <v>25</v>
      </c>
      <c r="E32" s="7"/>
      <c r="F32" s="11">
        <v>0</v>
      </c>
      <c r="G32" s="11">
        <v>245.43</v>
      </c>
      <c r="H32" s="11">
        <v>0.17</v>
      </c>
      <c r="I32" s="11">
        <f>(F32+G32+H32)*0.0825</f>
        <v>20.262</v>
      </c>
      <c r="J32" s="12">
        <f>E32+F32+G32+H32+I32</f>
        <v>265.86199999999997</v>
      </c>
      <c r="K32" s="14"/>
      <c r="L32" s="2">
        <f>J32*K32</f>
        <v>0</v>
      </c>
      <c r="M32" s="1"/>
    </row>
    <row r="33" spans="1:13" x14ac:dyDescent="0.2">
      <c r="A33" s="1">
        <v>29</v>
      </c>
      <c r="B33" s="1" t="s">
        <v>24</v>
      </c>
      <c r="C33" s="1" t="s">
        <v>53</v>
      </c>
      <c r="D33" s="1" t="s">
        <v>25</v>
      </c>
      <c r="E33" s="7"/>
      <c r="F33" s="8">
        <v>0</v>
      </c>
      <c r="G33" s="8">
        <v>376.97</v>
      </c>
      <c r="H33" s="8">
        <v>0.17</v>
      </c>
      <c r="I33" s="8">
        <f>(F33+G33+H33)*0.0825</f>
        <v>31.114050000000006</v>
      </c>
      <c r="J33" s="13">
        <f>E33+F33+G33+H33+I33</f>
        <v>408.25405000000006</v>
      </c>
      <c r="K33" s="14"/>
      <c r="L33" s="2">
        <f>J33*K33</f>
        <v>0</v>
      </c>
      <c r="M33" s="1"/>
    </row>
    <row r="34" spans="1:13" x14ac:dyDescent="0.2">
      <c r="A34" s="1">
        <v>30</v>
      </c>
      <c r="B34" s="1" t="s">
        <v>24</v>
      </c>
      <c r="C34" s="1" t="s">
        <v>54</v>
      </c>
      <c r="D34" s="1" t="s">
        <v>25</v>
      </c>
      <c r="E34" s="7"/>
      <c r="F34" s="11">
        <v>0</v>
      </c>
      <c r="G34" s="11">
        <v>186.84</v>
      </c>
      <c r="H34" s="11">
        <v>0.17</v>
      </c>
      <c r="I34" s="11">
        <f>(F34+G34+H34)*0.0825</f>
        <v>15.428324999999999</v>
      </c>
      <c r="J34" s="12">
        <f>E34+F34+G34+H34+I34</f>
        <v>202.43832499999999</v>
      </c>
      <c r="K34" s="14"/>
      <c r="L34" s="2">
        <f>J34*K34</f>
        <v>0</v>
      </c>
      <c r="M34" s="1"/>
    </row>
    <row r="35" spans="1:13" x14ac:dyDescent="0.2">
      <c r="A35" s="1">
        <v>31</v>
      </c>
      <c r="B35" s="1" t="s">
        <v>24</v>
      </c>
      <c r="C35" s="1" t="s">
        <v>55</v>
      </c>
      <c r="D35" s="1" t="s">
        <v>25</v>
      </c>
      <c r="E35" s="7"/>
      <c r="F35" s="9">
        <v>0</v>
      </c>
      <c r="G35" s="9">
        <v>546.16</v>
      </c>
      <c r="H35" s="9">
        <v>0.17</v>
      </c>
      <c r="I35" s="9">
        <f>(F35+G35+H35)*0.0825</f>
        <v>45.072224999999996</v>
      </c>
      <c r="J35" s="10">
        <f>E35+F35+G35+H35+I35</f>
        <v>591.40222499999993</v>
      </c>
      <c r="K35" s="14"/>
      <c r="L35" s="2">
        <f>J35*K35</f>
        <v>0</v>
      </c>
      <c r="M35" s="1"/>
    </row>
    <row r="36" spans="1:13" x14ac:dyDescent="0.2">
      <c r="A36" s="1">
        <v>32</v>
      </c>
      <c r="B36" s="1" t="s">
        <v>24</v>
      </c>
      <c r="C36" s="1" t="s">
        <v>56</v>
      </c>
      <c r="D36" s="1" t="s">
        <v>25</v>
      </c>
      <c r="E36" s="7"/>
      <c r="F36" s="11">
        <v>0</v>
      </c>
      <c r="G36" s="11">
        <v>485.19</v>
      </c>
      <c r="H36" s="11">
        <v>0.17</v>
      </c>
      <c r="I36" s="11">
        <f>(F36+G36+H36)*0.0825</f>
        <v>40.042200000000001</v>
      </c>
      <c r="J36" s="12">
        <f>E36+F36+G36+H36+I36</f>
        <v>525.40219999999999</v>
      </c>
      <c r="K36" s="14"/>
      <c r="L36" s="2">
        <f>J36*K36</f>
        <v>0</v>
      </c>
      <c r="M36" s="1"/>
    </row>
    <row r="37" spans="1:13" x14ac:dyDescent="0.2">
      <c r="A37" s="1">
        <v>33</v>
      </c>
      <c r="B37" s="1" t="s">
        <v>24</v>
      </c>
      <c r="C37" s="1" t="s">
        <v>57</v>
      </c>
      <c r="D37" s="1" t="s">
        <v>25</v>
      </c>
      <c r="E37" s="7"/>
      <c r="F37" s="8">
        <v>0</v>
      </c>
      <c r="G37" s="8">
        <v>791.7</v>
      </c>
      <c r="H37" s="8">
        <v>0.17</v>
      </c>
      <c r="I37" s="8">
        <f>(F37+G37+H37)*0.0825</f>
        <v>65.32927500000001</v>
      </c>
      <c r="J37" s="13">
        <f>E37+F37+G37+H37+I37</f>
        <v>857.19927500000006</v>
      </c>
      <c r="K37" s="14"/>
      <c r="L37" s="2">
        <f>J37*K37</f>
        <v>0</v>
      </c>
      <c r="M37" s="1"/>
    </row>
    <row r="38" spans="1:13" x14ac:dyDescent="0.2">
      <c r="A38" s="1">
        <v>34</v>
      </c>
      <c r="B38" s="1" t="s">
        <v>24</v>
      </c>
      <c r="C38" s="1" t="s">
        <v>58</v>
      </c>
      <c r="D38" s="1" t="s">
        <v>25</v>
      </c>
      <c r="E38" s="7"/>
      <c r="F38" s="11">
        <v>0</v>
      </c>
      <c r="G38" s="11">
        <v>100.62</v>
      </c>
      <c r="H38" s="11">
        <v>53.69</v>
      </c>
      <c r="I38" s="11">
        <f>(F38+G38+H38)*0.0825</f>
        <v>12.730575</v>
      </c>
      <c r="J38" s="12">
        <f>E38+F38+G38+H38+I38</f>
        <v>167.04057499999999</v>
      </c>
      <c r="K38" s="14"/>
      <c r="L38" s="2">
        <f>J38*K38</f>
        <v>0</v>
      </c>
      <c r="M38" s="1"/>
    </row>
    <row r="39" spans="1:13" x14ac:dyDescent="0.2">
      <c r="A39" s="1">
        <v>35</v>
      </c>
      <c r="B39" s="1" t="s">
        <v>24</v>
      </c>
      <c r="C39" s="1" t="s">
        <v>59</v>
      </c>
      <c r="D39" s="1" t="s">
        <v>25</v>
      </c>
      <c r="E39" s="7"/>
      <c r="F39" s="9">
        <v>0</v>
      </c>
      <c r="G39" s="9">
        <v>88.52</v>
      </c>
      <c r="H39" s="9">
        <v>32.909999999999997</v>
      </c>
      <c r="I39" s="9">
        <f>(F39+G39+H39)*0.0825</f>
        <v>10.017975</v>
      </c>
      <c r="J39" s="10">
        <f>E39+F39+G39+H39+I39</f>
        <v>131.44797499999999</v>
      </c>
      <c r="K39" s="14"/>
      <c r="L39" s="2">
        <f>J39*K39</f>
        <v>0</v>
      </c>
      <c r="M39" s="1"/>
    </row>
    <row r="40" spans="1:13" x14ac:dyDescent="0.2">
      <c r="A40" s="1">
        <v>36</v>
      </c>
      <c r="B40" s="1" t="s">
        <v>24</v>
      </c>
      <c r="C40" s="1" t="s">
        <v>60</v>
      </c>
      <c r="D40" s="1" t="s">
        <v>25</v>
      </c>
      <c r="E40" s="7"/>
      <c r="F40" s="11">
        <v>0</v>
      </c>
      <c r="G40" s="11">
        <v>189.91</v>
      </c>
      <c r="H40" s="11">
        <v>32.909999999999997</v>
      </c>
      <c r="I40" s="11">
        <f>(F40+G40+H40)*0.0825</f>
        <v>18.382650000000002</v>
      </c>
      <c r="J40" s="12">
        <f>E40+F40+G40+H40+I40</f>
        <v>241.20265000000001</v>
      </c>
      <c r="K40" s="14"/>
      <c r="L40" s="2">
        <f>J40*K40</f>
        <v>0</v>
      </c>
      <c r="M40" s="1"/>
    </row>
    <row r="41" spans="1:13" x14ac:dyDescent="0.2">
      <c r="A41" s="1">
        <v>37</v>
      </c>
      <c r="B41" s="1" t="s">
        <v>24</v>
      </c>
      <c r="C41" s="1" t="s">
        <v>61</v>
      </c>
      <c r="D41" s="1" t="s">
        <v>25</v>
      </c>
      <c r="E41" s="7"/>
      <c r="F41" s="8">
        <v>0</v>
      </c>
      <c r="G41" s="8">
        <v>146.27000000000001</v>
      </c>
      <c r="H41" s="8">
        <v>32.909999999999997</v>
      </c>
      <c r="I41" s="8">
        <f>(F41+G41+H41)*0.0825</f>
        <v>14.782350000000001</v>
      </c>
      <c r="J41" s="13">
        <f>E41+F41+G41+H41+I41</f>
        <v>193.96235000000001</v>
      </c>
      <c r="K41" s="14"/>
      <c r="L41" s="2">
        <f>J41*K41</f>
        <v>0</v>
      </c>
      <c r="M41" s="1"/>
    </row>
    <row r="42" spans="1:13" x14ac:dyDescent="0.2">
      <c r="A42" s="1">
        <v>38</v>
      </c>
      <c r="B42" s="1" t="s">
        <v>24</v>
      </c>
      <c r="C42" s="1" t="s">
        <v>62</v>
      </c>
      <c r="D42" s="1" t="s">
        <v>25</v>
      </c>
      <c r="E42" s="7"/>
      <c r="F42" s="11">
        <v>0</v>
      </c>
      <c r="G42" s="11">
        <v>241.56</v>
      </c>
      <c r="H42" s="11">
        <v>32.909999999999997</v>
      </c>
      <c r="I42" s="11">
        <f>(F42+G42+H42)*0.0825</f>
        <v>22.643775000000005</v>
      </c>
      <c r="J42" s="12">
        <f>E42+F42+G42+H42+I42</f>
        <v>297.11377500000003</v>
      </c>
      <c r="K42" s="14"/>
      <c r="L42" s="2">
        <f>J42*K42</f>
        <v>0</v>
      </c>
      <c r="M42" s="1"/>
    </row>
    <row r="43" spans="1:13" x14ac:dyDescent="0.2">
      <c r="A43" s="1">
        <v>39</v>
      </c>
      <c r="B43" s="1" t="s">
        <v>24</v>
      </c>
      <c r="C43" s="1" t="s">
        <v>63</v>
      </c>
      <c r="D43" s="1" t="s">
        <v>25</v>
      </c>
      <c r="E43" s="7"/>
      <c r="F43" s="9">
        <v>0</v>
      </c>
      <c r="G43" s="9">
        <v>244.48</v>
      </c>
      <c r="H43" s="9">
        <v>53.69</v>
      </c>
      <c r="I43" s="9">
        <f>(F43+G43+H43)*0.0825</f>
        <v>24.599024999999997</v>
      </c>
      <c r="J43" s="10">
        <f>E43+F43+G43+H43+I43</f>
        <v>322.76902499999994</v>
      </c>
      <c r="K43" s="14"/>
      <c r="L43" s="2">
        <f>J43*K43</f>
        <v>0</v>
      </c>
      <c r="M43" s="1"/>
    </row>
    <row r="44" spans="1:13" x14ac:dyDescent="0.2">
      <c r="A44" s="1">
        <v>40</v>
      </c>
      <c r="B44" s="1" t="s">
        <v>24</v>
      </c>
      <c r="C44" s="1" t="s">
        <v>64</v>
      </c>
      <c r="D44" s="1" t="s">
        <v>25</v>
      </c>
      <c r="E44" s="7"/>
      <c r="F44" s="11">
        <v>0</v>
      </c>
      <c r="G44" s="11">
        <v>140.46</v>
      </c>
      <c r="H44" s="11">
        <v>32.909999999999997</v>
      </c>
      <c r="I44" s="11">
        <f>(F44+G44+H44)*0.0825</f>
        <v>14.303025000000002</v>
      </c>
      <c r="J44" s="12">
        <f>E44+F44+G44+H44+I44</f>
        <v>187.673025</v>
      </c>
      <c r="K44" s="14"/>
      <c r="L44" s="2">
        <f>J44*K44</f>
        <v>0</v>
      </c>
      <c r="M44" s="1"/>
    </row>
    <row r="45" spans="1:13" x14ac:dyDescent="0.2">
      <c r="A45" s="1">
        <v>41</v>
      </c>
      <c r="B45" s="1" t="s">
        <v>24</v>
      </c>
      <c r="C45" s="1" t="s">
        <v>65</v>
      </c>
      <c r="D45" s="1" t="s">
        <v>25</v>
      </c>
      <c r="E45" s="7"/>
      <c r="F45" s="8">
        <v>0</v>
      </c>
      <c r="G45" s="8">
        <v>385.92</v>
      </c>
      <c r="H45" s="8">
        <v>53.69</v>
      </c>
      <c r="I45" s="8">
        <f>(F45+G45+H45)*0.0825</f>
        <v>36.267825000000002</v>
      </c>
      <c r="J45" s="13">
        <f>E45+F45+G45+H45+I45</f>
        <v>475.87782500000003</v>
      </c>
      <c r="K45" s="14"/>
      <c r="L45" s="2">
        <f>J45*K45</f>
        <v>0</v>
      </c>
      <c r="M45" s="1"/>
    </row>
    <row r="46" spans="1:13" x14ac:dyDescent="0.2">
      <c r="A46" s="1">
        <v>42</v>
      </c>
      <c r="B46" s="1" t="s">
        <v>24</v>
      </c>
      <c r="C46" s="1" t="s">
        <v>66</v>
      </c>
      <c r="D46" s="1" t="s">
        <v>25</v>
      </c>
      <c r="E46" s="7"/>
      <c r="F46" s="11">
        <v>0</v>
      </c>
      <c r="G46" s="11">
        <v>237.02</v>
      </c>
      <c r="H46" s="11">
        <v>53.69</v>
      </c>
      <c r="I46" s="11">
        <f>(F46+G46+H46)*0.0825</f>
        <v>23.983575000000005</v>
      </c>
      <c r="J46" s="12">
        <f>E46+F46+G46+H46+I46</f>
        <v>314.69357500000007</v>
      </c>
      <c r="K46" s="14"/>
      <c r="L46" s="2">
        <f>J46*K46</f>
        <v>0</v>
      </c>
      <c r="M46" s="1"/>
    </row>
    <row r="47" spans="1:13" x14ac:dyDescent="0.2">
      <c r="A47" s="1">
        <v>43</v>
      </c>
      <c r="B47" s="1" t="s">
        <v>24</v>
      </c>
      <c r="C47" s="1" t="s">
        <v>67</v>
      </c>
      <c r="D47" s="1" t="s">
        <v>25</v>
      </c>
      <c r="E47" s="7"/>
      <c r="F47" s="9">
        <v>0</v>
      </c>
      <c r="G47" s="9">
        <v>256.35000000000002</v>
      </c>
      <c r="H47" s="9">
        <v>32.909999999999997</v>
      </c>
      <c r="I47" s="9">
        <f>(F47+G47+H47)*0.0825</f>
        <v>23.863949999999999</v>
      </c>
      <c r="J47" s="10">
        <f>E47+F47+G47+H47+I47</f>
        <v>313.12394999999998</v>
      </c>
      <c r="K47" s="14"/>
      <c r="L47" s="2">
        <f>J47*K47</f>
        <v>0</v>
      </c>
      <c r="M47" s="1"/>
    </row>
    <row r="48" spans="1:13" x14ac:dyDescent="0.2">
      <c r="A48" s="1">
        <v>44</v>
      </c>
      <c r="B48" s="1" t="s">
        <v>24</v>
      </c>
      <c r="C48" s="1" t="s">
        <v>68</v>
      </c>
      <c r="D48" s="1" t="s">
        <v>25</v>
      </c>
      <c r="E48" s="7"/>
      <c r="F48" s="11">
        <v>0</v>
      </c>
      <c r="G48" s="11">
        <v>520.01</v>
      </c>
      <c r="H48" s="11">
        <v>53.69</v>
      </c>
      <c r="I48" s="11">
        <f>(F48+G48+H48)*0.0825</f>
        <v>47.330250000000007</v>
      </c>
      <c r="J48" s="12">
        <f>E48+F48+G48+H48+I48</f>
        <v>621.03025000000002</v>
      </c>
      <c r="K48" s="14"/>
      <c r="L48" s="2">
        <f>J48*K48</f>
        <v>0</v>
      </c>
      <c r="M48" s="1"/>
    </row>
    <row r="49" spans="1:13" x14ac:dyDescent="0.2">
      <c r="A49" s="1">
        <v>45</v>
      </c>
      <c r="B49" s="1" t="s">
        <v>24</v>
      </c>
      <c r="C49" s="1" t="s">
        <v>69</v>
      </c>
      <c r="D49" s="1" t="s">
        <v>25</v>
      </c>
      <c r="E49" s="7"/>
      <c r="F49" s="8">
        <v>0</v>
      </c>
      <c r="G49" s="8">
        <v>448.04</v>
      </c>
      <c r="H49" s="8">
        <v>53.69</v>
      </c>
      <c r="I49" s="8">
        <f>(F49+G49+H49)*0.0825</f>
        <v>41.392725000000006</v>
      </c>
      <c r="J49" s="13">
        <f>E49+F49+G49+H49+I49</f>
        <v>543.12272500000006</v>
      </c>
      <c r="K49" s="14"/>
      <c r="L49" s="2">
        <f>J49*K49</f>
        <v>0</v>
      </c>
      <c r="M49" s="1"/>
    </row>
    <row r="50" spans="1:13" x14ac:dyDescent="0.2">
      <c r="A50" s="1">
        <v>46</v>
      </c>
      <c r="B50" s="1" t="s">
        <v>24</v>
      </c>
      <c r="C50" s="1" t="s">
        <v>70</v>
      </c>
      <c r="D50" s="1" t="s">
        <v>25</v>
      </c>
      <c r="E50" s="7"/>
      <c r="F50" s="11">
        <v>0</v>
      </c>
      <c r="G50" s="11">
        <v>670.73</v>
      </c>
      <c r="H50" s="11">
        <v>53.69</v>
      </c>
      <c r="I50" s="11">
        <f>(F50+G50+H50)*0.0825</f>
        <v>59.76465000000001</v>
      </c>
      <c r="J50" s="12">
        <f>E50+F50+G50+H50+I50</f>
        <v>784.18465000000003</v>
      </c>
      <c r="K50" s="14"/>
      <c r="L50" s="2">
        <f>J50*K50</f>
        <v>0</v>
      </c>
      <c r="M50" s="1"/>
    </row>
    <row r="51" spans="1:13" x14ac:dyDescent="0.2">
      <c r="A51" s="1">
        <v>47</v>
      </c>
      <c r="B51" s="1" t="s">
        <v>24</v>
      </c>
      <c r="C51" s="1" t="s">
        <v>71</v>
      </c>
      <c r="D51" s="1" t="s">
        <v>25</v>
      </c>
      <c r="E51" s="7"/>
      <c r="F51" s="9">
        <v>0</v>
      </c>
      <c r="G51" s="9">
        <v>156.38</v>
      </c>
      <c r="H51" s="9">
        <v>0.17</v>
      </c>
      <c r="I51" s="9">
        <f>(F51+G51+H51)*0.0825</f>
        <v>12.915374999999999</v>
      </c>
      <c r="J51" s="10">
        <f>E51+F51+G51+H51+I51</f>
        <v>169.46537499999999</v>
      </c>
      <c r="K51" s="14"/>
      <c r="L51" s="2">
        <f>J51*K51</f>
        <v>0</v>
      </c>
      <c r="M51" s="1"/>
    </row>
    <row r="52" spans="1:13" x14ac:dyDescent="0.2">
      <c r="A52" s="1">
        <v>48</v>
      </c>
      <c r="B52" s="1" t="s">
        <v>24</v>
      </c>
      <c r="C52" s="1" t="s">
        <v>72</v>
      </c>
      <c r="D52" s="1" t="s">
        <v>25</v>
      </c>
      <c r="E52" s="7"/>
      <c r="F52" s="9">
        <v>0</v>
      </c>
      <c r="G52" s="9">
        <v>42.67</v>
      </c>
      <c r="H52" s="9">
        <v>0</v>
      </c>
      <c r="I52" s="9">
        <f>(F52+G52+H52)*0.0825</f>
        <v>3.5202750000000003</v>
      </c>
      <c r="J52" s="10">
        <f>E52+F52+G52+H52+I52</f>
        <v>46.190275</v>
      </c>
      <c r="K52" s="14"/>
      <c r="L52" s="2">
        <f>J52*K52</f>
        <v>0</v>
      </c>
      <c r="M52" s="1"/>
    </row>
    <row r="53" spans="1:13" x14ac:dyDescent="0.2">
      <c r="A53" s="1">
        <v>49</v>
      </c>
      <c r="B53" s="1" t="s">
        <v>196</v>
      </c>
      <c r="C53" s="1" t="s">
        <v>198</v>
      </c>
      <c r="D53" s="1" t="s">
        <v>6</v>
      </c>
      <c r="E53" s="7">
        <v>242</v>
      </c>
      <c r="F53" s="11">
        <v>0</v>
      </c>
      <c r="G53" s="11">
        <v>0</v>
      </c>
      <c r="H53" s="11">
        <v>0</v>
      </c>
      <c r="I53" s="11">
        <f>(F53+G53+H53)*0.0825</f>
        <v>0</v>
      </c>
      <c r="J53" s="12">
        <f>E53+F53+G53+H53+I53</f>
        <v>242</v>
      </c>
      <c r="K53" s="14"/>
      <c r="L53" s="2">
        <f>J53*K53</f>
        <v>0</v>
      </c>
      <c r="M53" s="1"/>
    </row>
    <row r="54" spans="1:13" x14ac:dyDescent="0.2">
      <c r="A54" s="1">
        <v>50</v>
      </c>
      <c r="B54" s="1" t="s">
        <v>24</v>
      </c>
      <c r="C54" s="1" t="s">
        <v>73</v>
      </c>
      <c r="D54" s="1" t="s">
        <v>25</v>
      </c>
      <c r="E54" s="7"/>
      <c r="F54" s="9">
        <v>0</v>
      </c>
      <c r="G54" s="9">
        <v>162.88999999999999</v>
      </c>
      <c r="H54" s="9">
        <v>5.18</v>
      </c>
      <c r="I54" s="9">
        <f>(F54+G54+H54)*0.0825</f>
        <v>13.865774999999999</v>
      </c>
      <c r="J54" s="10">
        <f>E54+F54+G54+H54+I54</f>
        <v>181.93577499999998</v>
      </c>
      <c r="K54" s="14"/>
      <c r="L54" s="2">
        <f>J54*K54</f>
        <v>0</v>
      </c>
      <c r="M54" s="1"/>
    </row>
    <row r="55" spans="1:13" x14ac:dyDescent="0.2">
      <c r="A55" s="1">
        <v>51</v>
      </c>
      <c r="B55" s="1" t="s">
        <v>24</v>
      </c>
      <c r="C55" s="1" t="s">
        <v>74</v>
      </c>
      <c r="D55" s="1" t="s">
        <v>25</v>
      </c>
      <c r="E55" s="7"/>
      <c r="F55" s="11">
        <v>0</v>
      </c>
      <c r="G55" s="11">
        <v>235.26</v>
      </c>
      <c r="H55" s="11">
        <v>2.88</v>
      </c>
      <c r="I55" s="11">
        <f>(F55+G55+H55)*0.0825</f>
        <v>19.646550000000001</v>
      </c>
      <c r="J55" s="12">
        <f>E55+F55+G55+H55+I55</f>
        <v>257.78654999999998</v>
      </c>
      <c r="K55" s="14"/>
      <c r="L55" s="2">
        <f>J55*K55</f>
        <v>0</v>
      </c>
      <c r="M55" s="1"/>
    </row>
    <row r="56" spans="1:13" x14ac:dyDescent="0.2">
      <c r="A56" s="1">
        <v>52</v>
      </c>
      <c r="B56" s="1" t="s">
        <v>24</v>
      </c>
      <c r="C56" s="1" t="s">
        <v>75</v>
      </c>
      <c r="D56" s="1" t="s">
        <v>25</v>
      </c>
      <c r="E56" s="7"/>
      <c r="F56" s="8">
        <v>0</v>
      </c>
      <c r="G56" s="8">
        <v>245.43</v>
      </c>
      <c r="H56" s="8">
        <v>2.88</v>
      </c>
      <c r="I56" s="8">
        <f>(F56+G56+H56)*0.0825</f>
        <v>20.485575000000001</v>
      </c>
      <c r="J56" s="13">
        <f>E56+F56+G56+H56+I56</f>
        <v>268.79557499999999</v>
      </c>
      <c r="K56" s="14"/>
      <c r="L56" s="2">
        <f>J56*K56</f>
        <v>0</v>
      </c>
      <c r="M56" s="1"/>
    </row>
    <row r="57" spans="1:13" x14ac:dyDescent="0.2">
      <c r="A57" s="1">
        <v>53</v>
      </c>
      <c r="B57" s="1" t="s">
        <v>24</v>
      </c>
      <c r="C57" s="1" t="s">
        <v>76</v>
      </c>
      <c r="D57" s="1" t="s">
        <v>25</v>
      </c>
      <c r="E57" s="7"/>
      <c r="F57" s="11">
        <v>0</v>
      </c>
      <c r="G57" s="11">
        <v>376.97</v>
      </c>
      <c r="H57" s="11">
        <v>2.88</v>
      </c>
      <c r="I57" s="11">
        <f>(F57+G57+H57)*0.0825</f>
        <v>31.337625000000003</v>
      </c>
      <c r="J57" s="12">
        <f>E57+F57+G57+H57+I57</f>
        <v>411.18762500000003</v>
      </c>
      <c r="K57" s="14"/>
      <c r="L57" s="2">
        <f>J57*K57</f>
        <v>0</v>
      </c>
      <c r="M57" s="1"/>
    </row>
    <row r="58" spans="1:13" x14ac:dyDescent="0.2">
      <c r="A58" s="1">
        <v>54</v>
      </c>
      <c r="B58" s="1" t="s">
        <v>24</v>
      </c>
      <c r="C58" s="1" t="s">
        <v>77</v>
      </c>
      <c r="D58" s="1" t="s">
        <v>25</v>
      </c>
      <c r="E58" s="7"/>
      <c r="F58" s="9">
        <v>0</v>
      </c>
      <c r="G58" s="9">
        <v>186.84</v>
      </c>
      <c r="H58" s="9">
        <v>2.88</v>
      </c>
      <c r="I58" s="9">
        <f>(F58+G58+H58)*0.0825</f>
        <v>15.651900000000001</v>
      </c>
      <c r="J58" s="10">
        <f>E58+F58+G58+H58+I58</f>
        <v>205.37190000000001</v>
      </c>
      <c r="K58" s="14"/>
      <c r="L58" s="2">
        <f>J58*K58</f>
        <v>0</v>
      </c>
      <c r="M58" s="1"/>
    </row>
    <row r="59" spans="1:13" x14ac:dyDescent="0.2">
      <c r="A59" s="1">
        <v>55</v>
      </c>
      <c r="B59" s="1" t="s">
        <v>24</v>
      </c>
      <c r="C59" s="1" t="s">
        <v>78</v>
      </c>
      <c r="D59" s="1" t="s">
        <v>25</v>
      </c>
      <c r="E59" s="7"/>
      <c r="F59" s="11">
        <v>0</v>
      </c>
      <c r="G59" s="11">
        <v>546.16</v>
      </c>
      <c r="H59" s="11">
        <v>2.88</v>
      </c>
      <c r="I59" s="11">
        <f>(F59+G59+H59)*0.0825</f>
        <v>45.2958</v>
      </c>
      <c r="J59" s="12">
        <f>E59+F59+G59+H59+I59</f>
        <v>594.33579999999995</v>
      </c>
      <c r="K59" s="14"/>
      <c r="L59" s="2">
        <f>J59*K59</f>
        <v>0</v>
      </c>
      <c r="M59" s="1"/>
    </row>
    <row r="60" spans="1:13" x14ac:dyDescent="0.2">
      <c r="A60" s="1">
        <v>56</v>
      </c>
      <c r="B60" s="1" t="s">
        <v>24</v>
      </c>
      <c r="C60" s="1" t="s">
        <v>79</v>
      </c>
      <c r="D60" s="1" t="s">
        <v>25</v>
      </c>
      <c r="E60" s="7"/>
      <c r="F60" s="8">
        <v>0</v>
      </c>
      <c r="G60" s="8">
        <v>485.19</v>
      </c>
      <c r="H60" s="8">
        <v>2.88</v>
      </c>
      <c r="I60" s="8">
        <f>(F60+G60+H60)*0.0825</f>
        <v>40.265774999999998</v>
      </c>
      <c r="J60" s="13">
        <f>E60+F60+G60+H60+I60</f>
        <v>528.33577500000001</v>
      </c>
      <c r="K60" s="14"/>
      <c r="L60" s="2">
        <f>J60*K60</f>
        <v>0</v>
      </c>
      <c r="M60" s="1"/>
    </row>
    <row r="61" spans="1:13" x14ac:dyDescent="0.2">
      <c r="A61" s="1">
        <v>57</v>
      </c>
      <c r="B61" s="1" t="s">
        <v>24</v>
      </c>
      <c r="C61" s="1" t="s">
        <v>80</v>
      </c>
      <c r="D61" s="1" t="s">
        <v>25</v>
      </c>
      <c r="E61" s="7"/>
      <c r="F61" s="11">
        <v>0</v>
      </c>
      <c r="G61" s="11">
        <v>791.7</v>
      </c>
      <c r="H61" s="11">
        <v>2.88</v>
      </c>
      <c r="I61" s="11">
        <f>(F61+G61+H61)*0.0825</f>
        <v>65.552850000000007</v>
      </c>
      <c r="J61" s="12">
        <f>E61+F61+G61+H61+I61</f>
        <v>860.13285000000008</v>
      </c>
      <c r="K61" s="14"/>
      <c r="L61" s="2">
        <f>J61*K61</f>
        <v>0</v>
      </c>
      <c r="M61" s="1"/>
    </row>
    <row r="62" spans="1:13" x14ac:dyDescent="0.2">
      <c r="A62" s="1">
        <v>58</v>
      </c>
      <c r="B62" s="1" t="s">
        <v>24</v>
      </c>
      <c r="C62" s="1" t="s">
        <v>81</v>
      </c>
      <c r="D62" s="1" t="s">
        <v>25</v>
      </c>
      <c r="E62" s="7"/>
      <c r="F62" s="9">
        <v>0</v>
      </c>
      <c r="G62" s="9">
        <v>100.62</v>
      </c>
      <c r="H62" s="9">
        <v>56.4</v>
      </c>
      <c r="I62" s="9">
        <f>(F62+G62+H62)*0.0825</f>
        <v>12.954150000000002</v>
      </c>
      <c r="J62" s="10">
        <f>E62+F62+G62+H62+I62</f>
        <v>169.97415000000001</v>
      </c>
      <c r="K62" s="14"/>
      <c r="L62" s="2">
        <f>J62*K62</f>
        <v>0</v>
      </c>
      <c r="M62" s="1"/>
    </row>
    <row r="63" spans="1:13" x14ac:dyDescent="0.2">
      <c r="A63" s="1">
        <v>59</v>
      </c>
      <c r="B63" s="1" t="s">
        <v>24</v>
      </c>
      <c r="C63" s="1" t="s">
        <v>82</v>
      </c>
      <c r="D63" s="1" t="s">
        <v>25</v>
      </c>
      <c r="E63" s="7"/>
      <c r="F63" s="11">
        <v>0</v>
      </c>
      <c r="G63" s="11">
        <v>88.52</v>
      </c>
      <c r="H63" s="11">
        <v>35.630000000000003</v>
      </c>
      <c r="I63" s="11">
        <f>(F63+G63+H63)*0.0825</f>
        <v>10.242375000000001</v>
      </c>
      <c r="J63" s="12">
        <f>E63+F63+G63+H63+I63</f>
        <v>134.39237500000002</v>
      </c>
      <c r="K63" s="14"/>
      <c r="L63" s="2">
        <f>J63*K63</f>
        <v>0</v>
      </c>
      <c r="M63" s="1"/>
    </row>
    <row r="64" spans="1:13" x14ac:dyDescent="0.2">
      <c r="A64" s="1">
        <v>60</v>
      </c>
      <c r="B64" s="1" t="s">
        <v>24</v>
      </c>
      <c r="C64" s="1" t="s">
        <v>84</v>
      </c>
      <c r="D64" s="1" t="s">
        <v>25</v>
      </c>
      <c r="E64" s="7"/>
      <c r="F64" s="8">
        <v>0</v>
      </c>
      <c r="G64" s="8">
        <v>241.56</v>
      </c>
      <c r="H64" s="8">
        <v>35.630000000000003</v>
      </c>
      <c r="I64" s="8">
        <f>(F64+G64+H64)*0.0825</f>
        <v>22.868175000000001</v>
      </c>
      <c r="J64" s="13">
        <f>E64+F64+G64+H64+I64</f>
        <v>300.05817500000001</v>
      </c>
      <c r="K64" s="14"/>
      <c r="L64" s="2">
        <f>J64*K64</f>
        <v>0</v>
      </c>
      <c r="M64" s="1"/>
    </row>
    <row r="65" spans="1:13" x14ac:dyDescent="0.2">
      <c r="A65" s="1">
        <v>61</v>
      </c>
      <c r="B65" s="1" t="s">
        <v>24</v>
      </c>
      <c r="C65" s="1" t="s">
        <v>85</v>
      </c>
      <c r="D65" s="1" t="s">
        <v>25</v>
      </c>
      <c r="E65" s="7"/>
      <c r="F65" s="11">
        <v>0</v>
      </c>
      <c r="G65" s="11">
        <v>189.91</v>
      </c>
      <c r="H65" s="11">
        <v>35.630000000000003</v>
      </c>
      <c r="I65" s="11">
        <f>(F65+G65+H65)*0.0825</f>
        <v>18.607050000000001</v>
      </c>
      <c r="J65" s="12">
        <f>E65+F65+G65+H65+I65</f>
        <v>244.14704999999998</v>
      </c>
      <c r="K65" s="14"/>
      <c r="L65" s="2">
        <f>J65*K65</f>
        <v>0</v>
      </c>
      <c r="M65" s="1"/>
    </row>
    <row r="66" spans="1:13" x14ac:dyDescent="0.2">
      <c r="A66" s="1">
        <v>62</v>
      </c>
      <c r="B66" s="1" t="s">
        <v>24</v>
      </c>
      <c r="C66" s="1" t="s">
        <v>83</v>
      </c>
      <c r="D66" s="1" t="s">
        <v>25</v>
      </c>
      <c r="E66" s="7"/>
      <c r="F66" s="9">
        <v>0</v>
      </c>
      <c r="G66" s="9">
        <v>146.27000000000001</v>
      </c>
      <c r="H66" s="9">
        <v>35.630000000000003</v>
      </c>
      <c r="I66" s="9">
        <f>(F66+G66+H66)*0.0825</f>
        <v>15.006750000000002</v>
      </c>
      <c r="J66" s="10">
        <f>E66+F66+G66+H66+I66</f>
        <v>196.90675000000002</v>
      </c>
      <c r="K66" s="14"/>
      <c r="L66" s="2">
        <f>J66*K66</f>
        <v>0</v>
      </c>
      <c r="M66" s="1"/>
    </row>
    <row r="67" spans="1:13" x14ac:dyDescent="0.2">
      <c r="A67" s="1">
        <v>63</v>
      </c>
      <c r="B67" s="1" t="s">
        <v>24</v>
      </c>
      <c r="C67" s="1" t="s">
        <v>86</v>
      </c>
      <c r="D67" s="1" t="s">
        <v>25</v>
      </c>
      <c r="E67" s="7"/>
      <c r="F67" s="11">
        <v>0</v>
      </c>
      <c r="G67" s="11">
        <v>244.48</v>
      </c>
      <c r="H67" s="11">
        <v>56.4</v>
      </c>
      <c r="I67" s="11">
        <f>(F67+G67+H67)*0.0825</f>
        <v>24.822600000000001</v>
      </c>
      <c r="J67" s="12">
        <f>E67+F67+G67+H67+I67</f>
        <v>325.70260000000002</v>
      </c>
      <c r="K67" s="14"/>
      <c r="L67" s="2">
        <f>J67*K67</f>
        <v>0</v>
      </c>
      <c r="M67" s="1"/>
    </row>
    <row r="68" spans="1:13" x14ac:dyDescent="0.2">
      <c r="A68" s="1">
        <v>64</v>
      </c>
      <c r="B68" s="1" t="s">
        <v>24</v>
      </c>
      <c r="C68" s="1" t="s">
        <v>87</v>
      </c>
      <c r="D68" s="1" t="s">
        <v>25</v>
      </c>
      <c r="E68" s="7"/>
      <c r="F68" s="8">
        <v>0</v>
      </c>
      <c r="G68" s="8">
        <v>140.46</v>
      </c>
      <c r="H68" s="8">
        <v>35.630000000000003</v>
      </c>
      <c r="I68" s="8">
        <f>(F68+G68+H68)*0.0825</f>
        <v>14.527425000000001</v>
      </c>
      <c r="J68" s="13">
        <f>E68+F68+G68+H68+I68</f>
        <v>190.617425</v>
      </c>
      <c r="K68" s="14"/>
      <c r="L68" s="2">
        <f>J68*K68</f>
        <v>0</v>
      </c>
      <c r="M68" s="1"/>
    </row>
    <row r="69" spans="1:13" x14ac:dyDescent="0.2">
      <c r="A69" s="1">
        <v>65</v>
      </c>
      <c r="B69" s="1" t="s">
        <v>24</v>
      </c>
      <c r="C69" s="1" t="s">
        <v>88</v>
      </c>
      <c r="D69" s="1" t="s">
        <v>25</v>
      </c>
      <c r="E69" s="7"/>
      <c r="F69" s="11">
        <v>0</v>
      </c>
      <c r="G69" s="11">
        <v>385.92</v>
      </c>
      <c r="H69" s="11">
        <v>56.4</v>
      </c>
      <c r="I69" s="11">
        <f>(F69+G69+H69)*0.0825</f>
        <v>36.491399999999999</v>
      </c>
      <c r="J69" s="12">
        <f>E69+F69+G69+H69+I69</f>
        <v>478.81139999999999</v>
      </c>
      <c r="K69" s="14"/>
      <c r="L69" s="2">
        <f>J69*K69</f>
        <v>0</v>
      </c>
      <c r="M69" s="1"/>
    </row>
    <row r="70" spans="1:13" x14ac:dyDescent="0.2">
      <c r="A70" s="1">
        <v>66</v>
      </c>
      <c r="B70" s="1" t="s">
        <v>24</v>
      </c>
      <c r="C70" s="1" t="s">
        <v>89</v>
      </c>
      <c r="D70" s="1" t="s">
        <v>25</v>
      </c>
      <c r="E70" s="7"/>
      <c r="F70" s="9">
        <v>0</v>
      </c>
      <c r="G70" s="9">
        <v>237.02</v>
      </c>
      <c r="H70" s="9">
        <v>56.4</v>
      </c>
      <c r="I70" s="9">
        <f>(F70+G70+H70)*0.0825</f>
        <v>24.207150000000002</v>
      </c>
      <c r="J70" s="10">
        <f>E70+F70+G70+H70+I70</f>
        <v>317.62715000000003</v>
      </c>
      <c r="K70" s="14"/>
      <c r="L70" s="2">
        <f>J70*K70</f>
        <v>0</v>
      </c>
      <c r="M70" s="1"/>
    </row>
    <row r="71" spans="1:13" x14ac:dyDescent="0.2">
      <c r="A71" s="1">
        <v>67</v>
      </c>
      <c r="B71" s="1" t="s">
        <v>24</v>
      </c>
      <c r="C71" s="1" t="s">
        <v>90</v>
      </c>
      <c r="D71" s="1" t="s">
        <v>25</v>
      </c>
      <c r="E71" s="7"/>
      <c r="F71" s="11">
        <v>0</v>
      </c>
      <c r="G71" s="11">
        <v>256.35000000000002</v>
      </c>
      <c r="H71" s="11">
        <v>35.630000000000003</v>
      </c>
      <c r="I71" s="11">
        <f>(F71+G71+H71)*0.0825</f>
        <v>24.088350000000002</v>
      </c>
      <c r="J71" s="12">
        <f>E71+F71+G71+H71+I71</f>
        <v>316.06835000000001</v>
      </c>
      <c r="K71" s="14"/>
      <c r="L71" s="2">
        <f>J71*K71</f>
        <v>0</v>
      </c>
      <c r="M71" s="1"/>
    </row>
    <row r="72" spans="1:13" x14ac:dyDescent="0.2">
      <c r="A72" s="1">
        <v>68</v>
      </c>
      <c r="B72" s="1" t="s">
        <v>24</v>
      </c>
      <c r="C72" s="1" t="s">
        <v>91</v>
      </c>
      <c r="D72" s="1" t="s">
        <v>25</v>
      </c>
      <c r="E72" s="7"/>
      <c r="F72" s="8">
        <v>0</v>
      </c>
      <c r="G72" s="8">
        <v>520.01</v>
      </c>
      <c r="H72" s="8">
        <v>56.4</v>
      </c>
      <c r="I72" s="8">
        <f>(F72+G72+H72)*0.0825</f>
        <v>47.553824999999996</v>
      </c>
      <c r="J72" s="13">
        <f>E72+F72+G72+H72+I72</f>
        <v>623.96382499999993</v>
      </c>
      <c r="K72" s="14"/>
      <c r="L72" s="2">
        <f>J72*K72</f>
        <v>0</v>
      </c>
      <c r="M72" s="1"/>
    </row>
    <row r="73" spans="1:13" x14ac:dyDescent="0.2">
      <c r="A73" s="1">
        <v>69</v>
      </c>
      <c r="B73" s="1" t="s">
        <v>24</v>
      </c>
      <c r="C73" s="1" t="s">
        <v>92</v>
      </c>
      <c r="D73" s="1" t="s">
        <v>25</v>
      </c>
      <c r="E73" s="7"/>
      <c r="F73" s="11">
        <v>0</v>
      </c>
      <c r="G73" s="11">
        <v>448.04</v>
      </c>
      <c r="H73" s="11">
        <v>56.4</v>
      </c>
      <c r="I73" s="11">
        <f>(F73+G73+H73)*0.0825</f>
        <v>41.616300000000003</v>
      </c>
      <c r="J73" s="12">
        <f>E73+F73+G73+H73+I73</f>
        <v>546.05629999999996</v>
      </c>
      <c r="K73" s="14"/>
      <c r="L73" s="2">
        <f>J73*K73</f>
        <v>0</v>
      </c>
      <c r="M73" s="1"/>
    </row>
    <row r="74" spans="1:13" x14ac:dyDescent="0.2">
      <c r="A74" s="1">
        <v>70</v>
      </c>
      <c r="B74" s="1" t="s">
        <v>24</v>
      </c>
      <c r="C74" s="1" t="s">
        <v>93</v>
      </c>
      <c r="D74" s="1" t="s">
        <v>25</v>
      </c>
      <c r="E74" s="7"/>
      <c r="F74" s="9">
        <v>0</v>
      </c>
      <c r="G74" s="9">
        <v>670.73</v>
      </c>
      <c r="H74" s="9">
        <v>56.4</v>
      </c>
      <c r="I74" s="9">
        <f>(F74+G74+H74)*0.0825</f>
        <v>59.988225</v>
      </c>
      <c r="J74" s="10">
        <f>E74+F74+G74+H74+I74</f>
        <v>787.11822499999994</v>
      </c>
      <c r="K74" s="14"/>
      <c r="L74" s="2">
        <f>J74*K74</f>
        <v>0</v>
      </c>
      <c r="M74" s="1"/>
    </row>
    <row r="75" spans="1:13" x14ac:dyDescent="0.2">
      <c r="A75" s="1">
        <v>71</v>
      </c>
      <c r="B75" s="1" t="s">
        <v>24</v>
      </c>
      <c r="C75" s="1" t="s">
        <v>94</v>
      </c>
      <c r="D75" s="1" t="s">
        <v>25</v>
      </c>
      <c r="E75" s="7"/>
      <c r="F75" s="11">
        <v>0</v>
      </c>
      <c r="G75" s="11">
        <v>156.38</v>
      </c>
      <c r="H75" s="11">
        <v>2.88</v>
      </c>
      <c r="I75" s="11">
        <f>(F75+G75+H75)*0.0825</f>
        <v>13.138949999999999</v>
      </c>
      <c r="J75" s="12">
        <f>E75+F75+G75+H75+I75</f>
        <v>172.39894999999999</v>
      </c>
      <c r="K75" s="14"/>
      <c r="L75" s="2">
        <f>J75*K75</f>
        <v>0</v>
      </c>
      <c r="M75" s="1"/>
    </row>
    <row r="76" spans="1:13" x14ac:dyDescent="0.2">
      <c r="A76" s="1">
        <v>72</v>
      </c>
      <c r="B76" s="1" t="s">
        <v>12</v>
      </c>
      <c r="C76" s="1" t="s">
        <v>14</v>
      </c>
      <c r="D76" s="1" t="s">
        <v>6</v>
      </c>
      <c r="E76" s="7">
        <v>26.92</v>
      </c>
      <c r="F76" s="11">
        <v>0</v>
      </c>
      <c r="G76" s="11">
        <v>0</v>
      </c>
      <c r="H76" s="11">
        <v>0</v>
      </c>
      <c r="I76" s="11">
        <f>(F76+G76+H76)*0.0825</f>
        <v>0</v>
      </c>
      <c r="J76" s="12">
        <f>E76+F76+G76+H76+I76</f>
        <v>26.92</v>
      </c>
      <c r="K76" s="14"/>
      <c r="L76" s="2">
        <f>J76*K76</f>
        <v>0</v>
      </c>
      <c r="M76" s="1"/>
    </row>
    <row r="77" spans="1:13" x14ac:dyDescent="0.2">
      <c r="A77" s="1">
        <v>73</v>
      </c>
      <c r="B77" s="1" t="s">
        <v>255</v>
      </c>
      <c r="C77" s="1" t="s">
        <v>256</v>
      </c>
      <c r="D77" s="1" t="s">
        <v>6</v>
      </c>
      <c r="E77" s="2">
        <v>338.4</v>
      </c>
      <c r="F77" s="11">
        <v>0</v>
      </c>
      <c r="G77" s="11">
        <v>0</v>
      </c>
      <c r="H77" s="11">
        <v>0</v>
      </c>
      <c r="I77" s="11">
        <f>(F77+G77+H77)*0.0825</f>
        <v>0</v>
      </c>
      <c r="J77" s="12">
        <f>E77+F77+G77+H77+I77</f>
        <v>338.4</v>
      </c>
      <c r="K77" s="15"/>
      <c r="L77" s="2">
        <f>J77*K77</f>
        <v>0</v>
      </c>
      <c r="M77" s="1"/>
    </row>
    <row r="78" spans="1:13" x14ac:dyDescent="0.2">
      <c r="A78" s="1">
        <v>74</v>
      </c>
      <c r="B78" s="1" t="s">
        <v>255</v>
      </c>
      <c r="C78" s="1" t="s">
        <v>257</v>
      </c>
      <c r="D78" s="1" t="s">
        <v>6</v>
      </c>
      <c r="E78" s="2">
        <v>915</v>
      </c>
      <c r="F78" s="9">
        <v>0</v>
      </c>
      <c r="G78" s="9">
        <v>0</v>
      </c>
      <c r="H78" s="9">
        <v>0</v>
      </c>
      <c r="I78" s="9">
        <f>(F78+G78+H78)*0.0825</f>
        <v>0</v>
      </c>
      <c r="J78" s="10">
        <f>E78+F78+G78+H78+I78</f>
        <v>915</v>
      </c>
      <c r="K78" s="15"/>
      <c r="L78" s="2">
        <f>J78*K78</f>
        <v>0</v>
      </c>
      <c r="M78" s="1"/>
    </row>
    <row r="79" spans="1:13" x14ac:dyDescent="0.2">
      <c r="A79" s="1">
        <v>75</v>
      </c>
      <c r="B79" s="1" t="s">
        <v>255</v>
      </c>
      <c r="C79" s="1" t="s">
        <v>258</v>
      </c>
      <c r="D79" s="1" t="s">
        <v>9</v>
      </c>
      <c r="E79" s="2">
        <v>1</v>
      </c>
      <c r="F79" s="11">
        <v>0</v>
      </c>
      <c r="G79" s="11">
        <v>0</v>
      </c>
      <c r="H79" s="11">
        <v>0</v>
      </c>
      <c r="I79" s="11">
        <f>(F79+G79+H79)*0.0825</f>
        <v>0</v>
      </c>
      <c r="J79" s="12">
        <f>E79+F79+G79+H79+I79</f>
        <v>1</v>
      </c>
      <c r="K79" s="15"/>
      <c r="L79" s="2">
        <f>J79*K79</f>
        <v>0</v>
      </c>
      <c r="M79" s="1"/>
    </row>
    <row r="80" spans="1:13" x14ac:dyDescent="0.2">
      <c r="A80" s="1">
        <v>76</v>
      </c>
      <c r="B80" s="1" t="s">
        <v>7</v>
      </c>
      <c r="C80" s="1" t="s">
        <v>8</v>
      </c>
      <c r="D80" s="1" t="s">
        <v>9</v>
      </c>
      <c r="E80" s="7">
        <v>1</v>
      </c>
      <c r="F80" s="8">
        <v>0</v>
      </c>
      <c r="G80" s="8">
        <v>0</v>
      </c>
      <c r="H80" s="8">
        <v>0</v>
      </c>
      <c r="I80" s="8">
        <f>(F80+G80+H80)*0.0825</f>
        <v>0</v>
      </c>
      <c r="J80" s="13">
        <f>E80+F80+G80+H80+I80</f>
        <v>1</v>
      </c>
      <c r="K80" s="14"/>
      <c r="L80" s="2">
        <f>J80*K80</f>
        <v>0</v>
      </c>
      <c r="M80" s="1"/>
    </row>
    <row r="81" spans="1:13" x14ac:dyDescent="0.2">
      <c r="A81" s="1">
        <v>77</v>
      </c>
      <c r="B81" s="1" t="s">
        <v>255</v>
      </c>
      <c r="C81" s="1" t="s">
        <v>259</v>
      </c>
      <c r="D81" s="1" t="s">
        <v>9</v>
      </c>
      <c r="E81" s="2">
        <v>1</v>
      </c>
      <c r="F81" s="11">
        <v>0</v>
      </c>
      <c r="G81" s="11">
        <v>0</v>
      </c>
      <c r="H81" s="11">
        <v>0</v>
      </c>
      <c r="I81" s="11">
        <f>(F81+G81+H81)*0.0825</f>
        <v>0</v>
      </c>
      <c r="J81" s="12">
        <f>E81+F81+G81+H81+I81</f>
        <v>1</v>
      </c>
      <c r="K81" s="15"/>
      <c r="L81" s="2">
        <f>J81*K81</f>
        <v>0</v>
      </c>
      <c r="M81" s="1"/>
    </row>
    <row r="82" spans="1:13" x14ac:dyDescent="0.2">
      <c r="A82" s="1">
        <v>78</v>
      </c>
      <c r="B82" s="1" t="s">
        <v>24</v>
      </c>
      <c r="C82" s="1" t="s">
        <v>95</v>
      </c>
      <c r="D82" s="1" t="s">
        <v>25</v>
      </c>
      <c r="E82" s="7"/>
      <c r="F82" s="9">
        <v>0</v>
      </c>
      <c r="G82" s="9">
        <v>147.24</v>
      </c>
      <c r="H82" s="9">
        <v>0</v>
      </c>
      <c r="I82" s="9">
        <f>(F82+G82+H82)*0.0825</f>
        <v>12.147300000000001</v>
      </c>
      <c r="J82" s="10">
        <f>E82+F82+G82+H82+I82</f>
        <v>159.38730000000001</v>
      </c>
      <c r="K82" s="14"/>
      <c r="L82" s="2">
        <f>J82*K82</f>
        <v>0</v>
      </c>
      <c r="M82" s="1"/>
    </row>
    <row r="83" spans="1:13" x14ac:dyDescent="0.2">
      <c r="A83" s="1">
        <v>79</v>
      </c>
      <c r="B83" s="1" t="s">
        <v>24</v>
      </c>
      <c r="C83" s="1" t="s">
        <v>96</v>
      </c>
      <c r="D83" s="1" t="s">
        <v>25</v>
      </c>
      <c r="E83" s="7"/>
      <c r="F83" s="11">
        <v>0</v>
      </c>
      <c r="G83" s="11">
        <v>160.05000000000001</v>
      </c>
      <c r="H83" s="11">
        <v>0</v>
      </c>
      <c r="I83" s="11">
        <f>(F83+G83+H83)*0.0825</f>
        <v>13.204125000000001</v>
      </c>
      <c r="J83" s="12">
        <f>E83+F83+G83+H83+I83</f>
        <v>173.25412500000002</v>
      </c>
      <c r="K83" s="14"/>
      <c r="L83" s="2">
        <f>J83*K83</f>
        <v>0</v>
      </c>
      <c r="M83" s="1"/>
    </row>
    <row r="84" spans="1:13" x14ac:dyDescent="0.2">
      <c r="A84" s="1">
        <v>80</v>
      </c>
      <c r="B84" s="1" t="s">
        <v>24</v>
      </c>
      <c r="C84" s="1" t="s">
        <v>97</v>
      </c>
      <c r="D84" s="1" t="s">
        <v>25</v>
      </c>
      <c r="E84" s="7"/>
      <c r="F84" s="8">
        <v>0</v>
      </c>
      <c r="G84" s="8">
        <v>79.95</v>
      </c>
      <c r="H84" s="8">
        <v>0</v>
      </c>
      <c r="I84" s="8">
        <f>(F84+G84+H84)*0.0825</f>
        <v>6.5958750000000004</v>
      </c>
      <c r="J84" s="13">
        <f>E84+F84+G84+H84+I84</f>
        <v>86.545875000000009</v>
      </c>
      <c r="K84" s="14"/>
      <c r="L84" s="2">
        <f>J84*K84</f>
        <v>0</v>
      </c>
      <c r="M84" s="1"/>
    </row>
    <row r="85" spans="1:13" x14ac:dyDescent="0.2">
      <c r="A85" s="1">
        <v>81</v>
      </c>
      <c r="B85" s="1" t="s">
        <v>24</v>
      </c>
      <c r="C85" s="1" t="s">
        <v>98</v>
      </c>
      <c r="D85" s="1" t="s">
        <v>25</v>
      </c>
      <c r="E85" s="7"/>
      <c r="F85" s="11">
        <v>0</v>
      </c>
      <c r="G85" s="11">
        <v>56.2</v>
      </c>
      <c r="H85" s="11">
        <v>0</v>
      </c>
      <c r="I85" s="11">
        <f>(F85+G85+H85)*0.0825</f>
        <v>4.6365000000000007</v>
      </c>
      <c r="J85" s="12">
        <f>E85+F85+G85+H85+I85</f>
        <v>60.836500000000001</v>
      </c>
      <c r="K85" s="14"/>
      <c r="L85" s="2">
        <f>J85*K85</f>
        <v>0</v>
      </c>
      <c r="M85" s="1"/>
    </row>
    <row r="86" spans="1:13" x14ac:dyDescent="0.2">
      <c r="A86" s="1">
        <v>82</v>
      </c>
      <c r="B86" s="1" t="s">
        <v>24</v>
      </c>
      <c r="C86" s="1" t="s">
        <v>99</v>
      </c>
      <c r="D86" s="1" t="s">
        <v>25</v>
      </c>
      <c r="E86" s="7"/>
      <c r="F86" s="9">
        <v>0</v>
      </c>
      <c r="G86" s="9">
        <v>68.099999999999994</v>
      </c>
      <c r="H86" s="9">
        <v>0</v>
      </c>
      <c r="I86" s="9">
        <f>(F86+G86+H86)*0.0825</f>
        <v>5.6182499999999997</v>
      </c>
      <c r="J86" s="10">
        <f>E86+F86+G86+H86+I86</f>
        <v>73.718249999999998</v>
      </c>
      <c r="K86" s="14"/>
      <c r="L86" s="2">
        <f>J86*K86</f>
        <v>0</v>
      </c>
      <c r="M86" s="1"/>
    </row>
    <row r="87" spans="1:13" x14ac:dyDescent="0.2">
      <c r="A87" s="1">
        <v>83</v>
      </c>
      <c r="B87" s="1" t="s">
        <v>24</v>
      </c>
      <c r="C87" s="1" t="s">
        <v>100</v>
      </c>
      <c r="D87" s="1" t="s">
        <v>25</v>
      </c>
      <c r="E87" s="7"/>
      <c r="F87" s="11">
        <v>0</v>
      </c>
      <c r="G87" s="11">
        <v>110.94</v>
      </c>
      <c r="H87" s="11">
        <v>0</v>
      </c>
      <c r="I87" s="11">
        <f>(F87+G87+H87)*0.0825</f>
        <v>9.1525499999999997</v>
      </c>
      <c r="J87" s="12">
        <f>E87+F87+G87+H87+I87</f>
        <v>120.09255</v>
      </c>
      <c r="K87" s="14"/>
      <c r="L87" s="2">
        <f>J87*K87</f>
        <v>0</v>
      </c>
      <c r="M87" s="1"/>
    </row>
    <row r="88" spans="1:13" x14ac:dyDescent="0.2">
      <c r="A88" s="1">
        <v>84</v>
      </c>
      <c r="B88" s="1" t="s">
        <v>24</v>
      </c>
      <c r="C88" s="1" t="s">
        <v>101</v>
      </c>
      <c r="D88" s="1" t="s">
        <v>25</v>
      </c>
      <c r="E88" s="7"/>
      <c r="F88" s="8">
        <v>0</v>
      </c>
      <c r="G88" s="8">
        <v>86.92</v>
      </c>
      <c r="H88" s="8">
        <v>0</v>
      </c>
      <c r="I88" s="8">
        <f>(F88+G88+H88)*0.0825</f>
        <v>7.1709000000000005</v>
      </c>
      <c r="J88" s="13">
        <f>E88+F88+G88+H88+I88</f>
        <v>94.090900000000005</v>
      </c>
      <c r="K88" s="14"/>
      <c r="L88" s="2">
        <f>J88*K88</f>
        <v>0</v>
      </c>
      <c r="M88" s="1"/>
    </row>
    <row r="89" spans="1:13" x14ac:dyDescent="0.2">
      <c r="A89" s="1">
        <v>85</v>
      </c>
      <c r="B89" s="1" t="s">
        <v>24</v>
      </c>
      <c r="C89" s="1" t="s">
        <v>102</v>
      </c>
      <c r="D89" s="1" t="s">
        <v>25</v>
      </c>
      <c r="E89" s="7"/>
      <c r="F89" s="11">
        <v>0</v>
      </c>
      <c r="G89" s="11">
        <v>128.97999999999999</v>
      </c>
      <c r="H89" s="11">
        <v>0</v>
      </c>
      <c r="I89" s="11">
        <f>(F89+G89+H89)*0.0825</f>
        <v>10.64085</v>
      </c>
      <c r="J89" s="12">
        <f>E89+F89+G89+H89+I89</f>
        <v>139.62084999999999</v>
      </c>
      <c r="K89" s="14"/>
      <c r="L89" s="2">
        <f>J89*K89</f>
        <v>0</v>
      </c>
      <c r="M89" s="1"/>
    </row>
    <row r="90" spans="1:13" x14ac:dyDescent="0.2">
      <c r="A90" s="1">
        <v>86</v>
      </c>
      <c r="B90" s="1" t="s">
        <v>24</v>
      </c>
      <c r="C90" s="1" t="s">
        <v>103</v>
      </c>
      <c r="D90" s="1" t="s">
        <v>25</v>
      </c>
      <c r="E90" s="7"/>
      <c r="F90" s="9">
        <v>0</v>
      </c>
      <c r="G90" s="9">
        <v>91.81</v>
      </c>
      <c r="H90" s="9">
        <v>0</v>
      </c>
      <c r="I90" s="9">
        <f>(F90+G90+H90)*0.0825</f>
        <v>7.5743250000000009</v>
      </c>
      <c r="J90" s="10">
        <f>E90+F90+G90+H90+I90</f>
        <v>99.384325000000004</v>
      </c>
      <c r="K90" s="14"/>
      <c r="L90" s="2">
        <f>J90*K90</f>
        <v>0</v>
      </c>
      <c r="M90" s="1"/>
    </row>
    <row r="91" spans="1:13" x14ac:dyDescent="0.2">
      <c r="A91" s="1">
        <v>87</v>
      </c>
      <c r="B91" s="1" t="s">
        <v>24</v>
      </c>
      <c r="C91" s="1" t="s">
        <v>104</v>
      </c>
      <c r="D91" s="1" t="s">
        <v>25</v>
      </c>
      <c r="E91" s="7"/>
      <c r="F91" s="11">
        <v>0</v>
      </c>
      <c r="G91" s="11">
        <v>137.54</v>
      </c>
      <c r="H91" s="11">
        <v>0</v>
      </c>
      <c r="I91" s="11">
        <f>(F91+G91+H91)*0.0825</f>
        <v>11.347049999999999</v>
      </c>
      <c r="J91" s="12">
        <f>E91+F91+G91+H91+I91</f>
        <v>148.88704999999999</v>
      </c>
      <c r="K91" s="14"/>
      <c r="L91" s="2">
        <f>J91*K91</f>
        <v>0</v>
      </c>
      <c r="M91" s="1"/>
    </row>
    <row r="92" spans="1:13" x14ac:dyDescent="0.2">
      <c r="A92" s="1">
        <v>88</v>
      </c>
      <c r="B92" s="1" t="s">
        <v>24</v>
      </c>
      <c r="C92" s="1" t="s">
        <v>105</v>
      </c>
      <c r="D92" s="1" t="s">
        <v>25</v>
      </c>
      <c r="E92" s="7"/>
      <c r="F92" s="8">
        <v>0</v>
      </c>
      <c r="G92" s="8">
        <v>71.94</v>
      </c>
      <c r="H92" s="8">
        <v>0</v>
      </c>
      <c r="I92" s="8">
        <f>(F92+G92+H92)*0.0825</f>
        <v>5.9350500000000004</v>
      </c>
      <c r="J92" s="13">
        <f>E92+F92+G92+H92+I92</f>
        <v>77.875050000000002</v>
      </c>
      <c r="K92" s="14"/>
      <c r="L92" s="2">
        <f>J92*K92</f>
        <v>0</v>
      </c>
      <c r="M92" s="1"/>
    </row>
    <row r="93" spans="1:13" x14ac:dyDescent="0.2">
      <c r="A93" s="1">
        <v>89</v>
      </c>
      <c r="B93" s="1" t="s">
        <v>24</v>
      </c>
      <c r="C93" s="1" t="s">
        <v>106</v>
      </c>
      <c r="D93" s="1" t="s">
        <v>25</v>
      </c>
      <c r="E93" s="7"/>
      <c r="F93" s="11">
        <v>0</v>
      </c>
      <c r="G93" s="11">
        <v>98.55</v>
      </c>
      <c r="H93" s="11">
        <v>0</v>
      </c>
      <c r="I93" s="11">
        <f>(F93+G93+H93)*0.0825</f>
        <v>8.1303750000000008</v>
      </c>
      <c r="J93" s="12">
        <f>E93+F93+G93+H93+I93</f>
        <v>106.680375</v>
      </c>
      <c r="K93" s="14"/>
      <c r="L93" s="2">
        <f>J93*K93</f>
        <v>0</v>
      </c>
      <c r="M93" s="1"/>
    </row>
    <row r="94" spans="1:13" x14ac:dyDescent="0.2">
      <c r="A94" s="1">
        <v>90</v>
      </c>
      <c r="B94" s="1" t="s">
        <v>24</v>
      </c>
      <c r="C94" s="1" t="s">
        <v>107</v>
      </c>
      <c r="D94" s="1" t="s">
        <v>25</v>
      </c>
      <c r="E94" s="7"/>
      <c r="F94" s="9">
        <v>0</v>
      </c>
      <c r="G94" s="9">
        <v>87.05</v>
      </c>
      <c r="H94" s="9">
        <v>0</v>
      </c>
      <c r="I94" s="9">
        <f>(F94+G94+H94)*0.0825</f>
        <v>7.1816250000000004</v>
      </c>
      <c r="J94" s="10">
        <f>E94+F94+G94+H94+I94</f>
        <v>94.231624999999994</v>
      </c>
      <c r="K94" s="14"/>
      <c r="L94" s="2">
        <f>J94*K94</f>
        <v>0</v>
      </c>
      <c r="M94" s="1"/>
    </row>
    <row r="95" spans="1:13" x14ac:dyDescent="0.2">
      <c r="A95" s="1">
        <v>91</v>
      </c>
      <c r="B95" s="1" t="s">
        <v>24</v>
      </c>
      <c r="C95" s="1" t="s">
        <v>108</v>
      </c>
      <c r="D95" s="1" t="s">
        <v>25</v>
      </c>
      <c r="E95" s="7"/>
      <c r="F95" s="11">
        <v>0</v>
      </c>
      <c r="G95" s="11">
        <v>172.18</v>
      </c>
      <c r="H95" s="11">
        <v>0</v>
      </c>
      <c r="I95" s="11">
        <f>(F95+G95+H95)*0.0825</f>
        <v>14.20485</v>
      </c>
      <c r="J95" s="12">
        <f>E95+F95+G95+H95+I95</f>
        <v>186.38485</v>
      </c>
      <c r="K95" s="14"/>
      <c r="L95" s="2">
        <f>J95*K95</f>
        <v>0</v>
      </c>
      <c r="M95" s="1"/>
    </row>
    <row r="96" spans="1:13" x14ac:dyDescent="0.2">
      <c r="A96" s="1">
        <v>92</v>
      </c>
      <c r="B96" s="1" t="s">
        <v>24</v>
      </c>
      <c r="C96" s="1" t="s">
        <v>109</v>
      </c>
      <c r="D96" s="1" t="s">
        <v>25</v>
      </c>
      <c r="E96" s="7"/>
      <c r="F96" s="8">
        <v>0</v>
      </c>
      <c r="G96" s="8">
        <v>66.52</v>
      </c>
      <c r="H96" s="8">
        <v>0</v>
      </c>
      <c r="I96" s="8">
        <f>(F96+G96+H96)*0.0825</f>
        <v>5.4878999999999998</v>
      </c>
      <c r="J96" s="13">
        <f>E96+F96+G96+H96+I96</f>
        <v>72.007899999999992</v>
      </c>
      <c r="K96" s="14"/>
      <c r="L96" s="2">
        <f>J96*K96</f>
        <v>0</v>
      </c>
      <c r="M96" s="1"/>
    </row>
    <row r="97" spans="1:13" x14ac:dyDescent="0.2">
      <c r="A97" s="1">
        <v>93</v>
      </c>
      <c r="B97" s="1" t="s">
        <v>24</v>
      </c>
      <c r="C97" s="1" t="s">
        <v>110</v>
      </c>
      <c r="D97" s="1" t="s">
        <v>25</v>
      </c>
      <c r="E97" s="7"/>
      <c r="F97" s="11">
        <v>0</v>
      </c>
      <c r="G97" s="11">
        <v>112.48</v>
      </c>
      <c r="H97" s="11">
        <v>0</v>
      </c>
      <c r="I97" s="11">
        <f>(F97+G97+H97)*0.0825</f>
        <v>9.2796000000000003</v>
      </c>
      <c r="J97" s="12">
        <f>E97+F97+G97+H97+I97</f>
        <v>121.75960000000001</v>
      </c>
      <c r="K97" s="14"/>
      <c r="L97" s="2">
        <f>J97*K97</f>
        <v>0</v>
      </c>
      <c r="M97" s="1"/>
    </row>
    <row r="98" spans="1:13" x14ac:dyDescent="0.2">
      <c r="A98" s="1">
        <v>94</v>
      </c>
      <c r="B98" s="1" t="s">
        <v>24</v>
      </c>
      <c r="C98" s="1" t="s">
        <v>111</v>
      </c>
      <c r="D98" s="1" t="s">
        <v>25</v>
      </c>
      <c r="E98" s="7"/>
      <c r="F98" s="9">
        <v>0</v>
      </c>
      <c r="G98" s="9">
        <v>268.02</v>
      </c>
      <c r="H98" s="9">
        <v>0</v>
      </c>
      <c r="I98" s="9">
        <f>(F98+G98+H98)*0.0825</f>
        <v>22.111650000000001</v>
      </c>
      <c r="J98" s="10">
        <f>E98+F98+G98+H98+I98</f>
        <v>290.13164999999998</v>
      </c>
      <c r="K98" s="14"/>
      <c r="L98" s="2">
        <f>J98*K98</f>
        <v>0</v>
      </c>
      <c r="M98" s="1"/>
    </row>
    <row r="99" spans="1:13" x14ac:dyDescent="0.2">
      <c r="A99" s="1">
        <v>95</v>
      </c>
      <c r="B99" s="1" t="s">
        <v>24</v>
      </c>
      <c r="C99" s="1" t="s">
        <v>112</v>
      </c>
      <c r="D99" s="1" t="s">
        <v>25</v>
      </c>
      <c r="E99" s="7"/>
      <c r="F99" s="11">
        <v>0</v>
      </c>
      <c r="G99" s="11">
        <v>104.47</v>
      </c>
      <c r="H99" s="11">
        <v>0</v>
      </c>
      <c r="I99" s="11">
        <f>(F99+G99+H99)*0.0825</f>
        <v>8.6187750000000012</v>
      </c>
      <c r="J99" s="12">
        <f>E99+F99+G99+H99+I99</f>
        <v>113.088775</v>
      </c>
      <c r="K99" s="14"/>
      <c r="L99" s="2">
        <f>J99*K99</f>
        <v>0</v>
      </c>
      <c r="M99" s="1"/>
    </row>
    <row r="100" spans="1:13" x14ac:dyDescent="0.2">
      <c r="A100" s="1">
        <v>96</v>
      </c>
      <c r="B100" s="1" t="s">
        <v>24</v>
      </c>
      <c r="C100" s="1" t="s">
        <v>113</v>
      </c>
      <c r="D100" s="1" t="s">
        <v>25</v>
      </c>
      <c r="E100" s="7"/>
      <c r="F100" s="8">
        <v>0</v>
      </c>
      <c r="G100" s="8">
        <v>161.13999999999999</v>
      </c>
      <c r="H100" s="8">
        <v>0</v>
      </c>
      <c r="I100" s="8">
        <f>(F100+G100+H100)*0.0825</f>
        <v>13.29405</v>
      </c>
      <c r="J100" s="13">
        <f>E100+F100+G100+H100+I100</f>
        <v>174.43404999999998</v>
      </c>
      <c r="K100" s="14"/>
      <c r="L100" s="2">
        <f>J100*K100</f>
        <v>0</v>
      </c>
      <c r="M100" s="1"/>
    </row>
    <row r="101" spans="1:13" x14ac:dyDescent="0.2">
      <c r="A101" s="1">
        <v>97</v>
      </c>
      <c r="B101" s="1" t="s">
        <v>24</v>
      </c>
      <c r="C101" s="1" t="s">
        <v>114</v>
      </c>
      <c r="D101" s="1" t="s">
        <v>25</v>
      </c>
      <c r="E101" s="7"/>
      <c r="F101" s="11">
        <v>0</v>
      </c>
      <c r="G101" s="11">
        <v>98.15</v>
      </c>
      <c r="H101" s="11">
        <v>0</v>
      </c>
      <c r="I101" s="11">
        <f>(F101+G101+H101)*0.0825</f>
        <v>8.0973750000000013</v>
      </c>
      <c r="J101" s="12">
        <f>E101+F101+G101+H101+I101</f>
        <v>106.24737500000001</v>
      </c>
      <c r="K101" s="14"/>
      <c r="L101" s="2">
        <f>J101*K101</f>
        <v>0</v>
      </c>
      <c r="M101" s="1"/>
    </row>
    <row r="102" spans="1:13" x14ac:dyDescent="0.2">
      <c r="A102" s="1">
        <v>98</v>
      </c>
      <c r="B102" s="1" t="s">
        <v>24</v>
      </c>
      <c r="C102" s="1" t="s">
        <v>115</v>
      </c>
      <c r="D102" s="1" t="s">
        <v>25</v>
      </c>
      <c r="E102" s="7"/>
      <c r="F102" s="9">
        <v>0</v>
      </c>
      <c r="G102" s="9">
        <v>172.67</v>
      </c>
      <c r="H102" s="9">
        <v>0</v>
      </c>
      <c r="I102" s="9">
        <f>(F102+G102+H102)*0.0825</f>
        <v>14.245274999999999</v>
      </c>
      <c r="J102" s="10">
        <f>E102+F102+G102+H102+I102</f>
        <v>186.91527499999998</v>
      </c>
      <c r="K102" s="14"/>
      <c r="L102" s="2">
        <f>J102*K102</f>
        <v>0</v>
      </c>
      <c r="M102" s="1"/>
    </row>
    <row r="103" spans="1:13" x14ac:dyDescent="0.2">
      <c r="A103" s="1">
        <v>99</v>
      </c>
      <c r="B103" s="1" t="s">
        <v>255</v>
      </c>
      <c r="C103" s="1" t="s">
        <v>261</v>
      </c>
      <c r="D103" s="1" t="s">
        <v>6</v>
      </c>
      <c r="E103" s="2">
        <v>300</v>
      </c>
      <c r="F103" s="8">
        <v>0</v>
      </c>
      <c r="G103" s="8">
        <v>0</v>
      </c>
      <c r="H103" s="8">
        <v>0</v>
      </c>
      <c r="I103" s="8">
        <f>(F103+G103+H103)*0.0825</f>
        <v>0</v>
      </c>
      <c r="J103" s="13">
        <f>E103+F103+G103+H103+I103</f>
        <v>300</v>
      </c>
      <c r="K103" s="15"/>
      <c r="L103" s="2">
        <f>J103*K103</f>
        <v>0</v>
      </c>
      <c r="M103" s="1"/>
    </row>
    <row r="104" spans="1:13" x14ac:dyDescent="0.2">
      <c r="A104" s="1">
        <v>100</v>
      </c>
      <c r="B104" s="1" t="s">
        <v>255</v>
      </c>
      <c r="C104" s="1" t="s">
        <v>260</v>
      </c>
      <c r="D104" s="1" t="s">
        <v>6</v>
      </c>
      <c r="E104" s="2">
        <v>130</v>
      </c>
      <c r="F104" s="11">
        <v>0</v>
      </c>
      <c r="G104" s="11">
        <v>0</v>
      </c>
      <c r="H104" s="11">
        <v>0</v>
      </c>
      <c r="I104" s="11">
        <f>(F104+G104+H104)*0.0825</f>
        <v>0</v>
      </c>
      <c r="J104" s="12">
        <f>E104+F104+G104+H104+I104</f>
        <v>130</v>
      </c>
      <c r="K104" s="15"/>
      <c r="L104" s="2">
        <f>J104*K104</f>
        <v>0</v>
      </c>
      <c r="M104" s="1"/>
    </row>
    <row r="105" spans="1:13" x14ac:dyDescent="0.2">
      <c r="A105" s="1">
        <v>101</v>
      </c>
      <c r="B105" s="1" t="s">
        <v>24</v>
      </c>
      <c r="C105" s="1" t="s">
        <v>116</v>
      </c>
      <c r="D105" s="1" t="s">
        <v>25</v>
      </c>
      <c r="E105" s="7"/>
      <c r="F105" s="9">
        <v>0</v>
      </c>
      <c r="G105" s="9">
        <v>205.5</v>
      </c>
      <c r="H105" s="9">
        <v>0</v>
      </c>
      <c r="I105" s="9">
        <f>(F105+G105+H105)*0.0825</f>
        <v>16.953749999999999</v>
      </c>
      <c r="J105" s="10">
        <f>E105+F105+G105+H105+I105</f>
        <v>222.45375000000001</v>
      </c>
      <c r="K105" s="14"/>
      <c r="L105" s="2">
        <f>J105*K105</f>
        <v>0</v>
      </c>
      <c r="M105" s="1"/>
    </row>
    <row r="106" spans="1:13" x14ac:dyDescent="0.2">
      <c r="A106" s="1">
        <v>102</v>
      </c>
      <c r="B106" s="1" t="s">
        <v>24</v>
      </c>
      <c r="C106" s="1" t="s">
        <v>117</v>
      </c>
      <c r="D106" s="1" t="s">
        <v>25</v>
      </c>
      <c r="E106" s="7"/>
      <c r="F106" s="11">
        <v>0</v>
      </c>
      <c r="G106" s="11">
        <v>1774.65</v>
      </c>
      <c r="H106" s="11">
        <v>0</v>
      </c>
      <c r="I106" s="11">
        <f>(F106+G106+H106)*0.0825</f>
        <v>146.408625</v>
      </c>
      <c r="J106" s="12">
        <f>E106+F106+G106+H106+I106</f>
        <v>1921.0586250000001</v>
      </c>
      <c r="K106" s="14"/>
      <c r="L106" s="2">
        <f>J106*K106</f>
        <v>0</v>
      </c>
      <c r="M106" s="1"/>
    </row>
    <row r="107" spans="1:13" x14ac:dyDescent="0.2">
      <c r="A107" s="1">
        <v>103</v>
      </c>
      <c r="B107" s="1" t="s">
        <v>24</v>
      </c>
      <c r="C107" s="1" t="s">
        <v>118</v>
      </c>
      <c r="D107" s="1" t="s">
        <v>25</v>
      </c>
      <c r="E107" s="7"/>
      <c r="F107" s="8">
        <v>0</v>
      </c>
      <c r="G107" s="8">
        <v>1774.65</v>
      </c>
      <c r="H107" s="8">
        <v>3.61</v>
      </c>
      <c r="I107" s="8">
        <f>(F107+G107+H107)*0.0825</f>
        <v>146.70645000000002</v>
      </c>
      <c r="J107" s="13">
        <f>E107+F107+G107+H107+I107</f>
        <v>1924.9664499999999</v>
      </c>
      <c r="K107" s="14"/>
      <c r="L107" s="2">
        <f>J107*K107</f>
        <v>0</v>
      </c>
      <c r="M107" s="1"/>
    </row>
    <row r="108" spans="1:13" x14ac:dyDescent="0.2">
      <c r="A108" s="1">
        <v>104</v>
      </c>
      <c r="B108" s="1" t="s">
        <v>24</v>
      </c>
      <c r="C108" s="1" t="s">
        <v>119</v>
      </c>
      <c r="D108" s="1" t="s">
        <v>25</v>
      </c>
      <c r="E108" s="7"/>
      <c r="F108" s="11">
        <v>0</v>
      </c>
      <c r="G108" s="11">
        <v>293.25</v>
      </c>
      <c r="H108" s="11">
        <v>0</v>
      </c>
      <c r="I108" s="11">
        <f>(F108+G108+H108)*0.0825</f>
        <v>24.193125000000002</v>
      </c>
      <c r="J108" s="12">
        <f>E108+F108+G108+H108+I108</f>
        <v>317.44312500000001</v>
      </c>
      <c r="K108" s="14"/>
      <c r="L108" s="2">
        <f>J108*K108</f>
        <v>0</v>
      </c>
      <c r="M108" s="1"/>
    </row>
    <row r="109" spans="1:13" x14ac:dyDescent="0.2">
      <c r="A109" s="1">
        <v>105</v>
      </c>
      <c r="B109" s="1" t="s">
        <v>24</v>
      </c>
      <c r="C109" s="1" t="s">
        <v>120</v>
      </c>
      <c r="D109" s="1" t="s">
        <v>25</v>
      </c>
      <c r="E109" s="7"/>
      <c r="F109" s="9">
        <v>0</v>
      </c>
      <c r="G109" s="9">
        <v>263.54000000000002</v>
      </c>
      <c r="H109" s="9">
        <v>0</v>
      </c>
      <c r="I109" s="9">
        <f>(F109+G109+H109)*0.0825</f>
        <v>21.742050000000003</v>
      </c>
      <c r="J109" s="10">
        <f>E109+F109+G109+H109+I109</f>
        <v>285.28205000000003</v>
      </c>
      <c r="K109" s="14"/>
      <c r="L109" s="2">
        <f>J109*K109</f>
        <v>0</v>
      </c>
      <c r="M109" s="1"/>
    </row>
    <row r="110" spans="1:13" x14ac:dyDescent="0.2">
      <c r="A110" s="1">
        <v>106</v>
      </c>
      <c r="B110" s="1" t="s">
        <v>24</v>
      </c>
      <c r="C110" s="1" t="s">
        <v>121</v>
      </c>
      <c r="D110" s="1" t="s">
        <v>25</v>
      </c>
      <c r="E110" s="7"/>
      <c r="F110" s="11">
        <v>0</v>
      </c>
      <c r="G110" s="11">
        <v>136.91</v>
      </c>
      <c r="H110" s="11">
        <v>0</v>
      </c>
      <c r="I110" s="11">
        <f>(F110+G110+H110)*0.0825</f>
        <v>11.295075000000001</v>
      </c>
      <c r="J110" s="12">
        <f>E110+F110+G110+H110+I110</f>
        <v>148.20507499999999</v>
      </c>
      <c r="K110" s="14"/>
      <c r="L110" s="2">
        <f>J110*K110</f>
        <v>0</v>
      </c>
      <c r="M110" s="1"/>
    </row>
    <row r="111" spans="1:13" x14ac:dyDescent="0.2">
      <c r="A111" s="1">
        <v>107</v>
      </c>
      <c r="B111" s="1" t="s">
        <v>24</v>
      </c>
      <c r="C111" s="1" t="s">
        <v>122</v>
      </c>
      <c r="D111" s="1" t="s">
        <v>25</v>
      </c>
      <c r="E111" s="7"/>
      <c r="F111" s="8">
        <v>0</v>
      </c>
      <c r="G111" s="8">
        <v>108.96</v>
      </c>
      <c r="H111" s="8">
        <v>20.54</v>
      </c>
      <c r="I111" s="8">
        <f>(F111+G111+H111)*0.0825</f>
        <v>10.68375</v>
      </c>
      <c r="J111" s="13">
        <f>E111+F111+G111+H111+I111</f>
        <v>140.18375</v>
      </c>
      <c r="K111" s="14"/>
      <c r="L111" s="2">
        <f>J111*K111</f>
        <v>0</v>
      </c>
      <c r="M111" s="1"/>
    </row>
    <row r="112" spans="1:13" x14ac:dyDescent="0.2">
      <c r="A112" s="1">
        <v>108</v>
      </c>
      <c r="B112" s="1" t="s">
        <v>24</v>
      </c>
      <c r="C112" s="1" t="s">
        <v>123</v>
      </c>
      <c r="D112" s="1" t="s">
        <v>25</v>
      </c>
      <c r="E112" s="7"/>
      <c r="F112" s="11">
        <v>0</v>
      </c>
      <c r="G112" s="11">
        <v>1071.2</v>
      </c>
      <c r="H112" s="11">
        <v>0</v>
      </c>
      <c r="I112" s="11">
        <f>(F112+G112+H112)*0.0825</f>
        <v>88.374000000000009</v>
      </c>
      <c r="J112" s="12">
        <f>E112+F112+G112+H112+I112</f>
        <v>1159.5740000000001</v>
      </c>
      <c r="K112" s="14"/>
      <c r="L112" s="2">
        <f>J112*K112</f>
        <v>0</v>
      </c>
      <c r="M112" s="1"/>
    </row>
    <row r="113" spans="1:13" x14ac:dyDescent="0.2">
      <c r="A113" s="1">
        <v>109</v>
      </c>
      <c r="B113" s="1" t="s">
        <v>24</v>
      </c>
      <c r="C113" s="1" t="s">
        <v>124</v>
      </c>
      <c r="D113" s="1" t="s">
        <v>25</v>
      </c>
      <c r="E113" s="7"/>
      <c r="F113" s="9">
        <v>0</v>
      </c>
      <c r="G113" s="9">
        <v>50.9</v>
      </c>
      <c r="H113" s="9">
        <v>0</v>
      </c>
      <c r="I113" s="9">
        <f>(F113+G113+H113)*0.0825</f>
        <v>4.1992500000000001</v>
      </c>
      <c r="J113" s="10">
        <f>E113+F113+G113+H113+I113</f>
        <v>55.099249999999998</v>
      </c>
      <c r="K113" s="14"/>
      <c r="L113" s="2">
        <f>J113*K113</f>
        <v>0</v>
      </c>
      <c r="M113" s="1"/>
    </row>
    <row r="114" spans="1:13" x14ac:dyDescent="0.2">
      <c r="A114" s="1">
        <v>110</v>
      </c>
      <c r="B114" s="1" t="s">
        <v>24</v>
      </c>
      <c r="C114" s="1" t="s">
        <v>125</v>
      </c>
      <c r="D114" s="1" t="s">
        <v>25</v>
      </c>
      <c r="E114" s="7"/>
      <c r="F114" s="11">
        <v>0</v>
      </c>
      <c r="G114" s="11">
        <v>34.9</v>
      </c>
      <c r="H114" s="11">
        <v>0</v>
      </c>
      <c r="I114" s="11">
        <f>(F114+G114+H114)*0.0825</f>
        <v>2.8792499999999999</v>
      </c>
      <c r="J114" s="12">
        <f>E114+F114+G114+H114+I114</f>
        <v>37.779249999999998</v>
      </c>
      <c r="K114" s="14"/>
      <c r="L114" s="2">
        <f>J114*K114</f>
        <v>0</v>
      </c>
      <c r="M114" s="1"/>
    </row>
    <row r="115" spans="1:13" x14ac:dyDescent="0.2">
      <c r="A115" s="1">
        <v>111</v>
      </c>
      <c r="B115" s="1" t="s">
        <v>24</v>
      </c>
      <c r="C115" s="1" t="s">
        <v>126</v>
      </c>
      <c r="D115" s="1" t="s">
        <v>25</v>
      </c>
      <c r="E115" s="7"/>
      <c r="F115" s="8">
        <v>0</v>
      </c>
      <c r="G115" s="8">
        <v>34.9</v>
      </c>
      <c r="H115" s="8">
        <v>0</v>
      </c>
      <c r="I115" s="8">
        <f>(F115+G115+H115)*0.0825</f>
        <v>2.8792499999999999</v>
      </c>
      <c r="J115" s="13">
        <f>E115+F115+G115+H115+I115</f>
        <v>37.779249999999998</v>
      </c>
      <c r="K115" s="14"/>
      <c r="L115" s="2">
        <f>J115*K115</f>
        <v>0</v>
      </c>
      <c r="M115" s="1"/>
    </row>
    <row r="116" spans="1:13" x14ac:dyDescent="0.2">
      <c r="A116" s="1">
        <v>112</v>
      </c>
      <c r="B116" s="1" t="s">
        <v>24</v>
      </c>
      <c r="C116" s="1" t="s">
        <v>127</v>
      </c>
      <c r="D116" s="1" t="s">
        <v>25</v>
      </c>
      <c r="E116" s="7"/>
      <c r="F116" s="11">
        <v>0</v>
      </c>
      <c r="G116" s="11">
        <v>38.78</v>
      </c>
      <c r="H116" s="11">
        <v>0</v>
      </c>
      <c r="I116" s="11">
        <f>(F116+G116+H116)*0.0825</f>
        <v>3.1993500000000004</v>
      </c>
      <c r="J116" s="12">
        <f>E116+F116+G116+H116+I116</f>
        <v>41.979350000000004</v>
      </c>
      <c r="K116" s="14"/>
      <c r="L116" s="2">
        <f>J116*K116</f>
        <v>0</v>
      </c>
      <c r="M116" s="1"/>
    </row>
    <row r="117" spans="1:13" x14ac:dyDescent="0.2">
      <c r="A117" s="1">
        <v>113</v>
      </c>
      <c r="B117" s="1" t="s">
        <v>24</v>
      </c>
      <c r="C117" s="1" t="s">
        <v>128</v>
      </c>
      <c r="D117" s="1" t="s">
        <v>25</v>
      </c>
      <c r="E117" s="7"/>
      <c r="F117" s="9">
        <v>0</v>
      </c>
      <c r="G117" s="9">
        <v>33.29</v>
      </c>
      <c r="H117" s="9">
        <v>0</v>
      </c>
      <c r="I117" s="9">
        <f>(F117+G117+H117)*0.0825</f>
        <v>2.7464249999999999</v>
      </c>
      <c r="J117" s="10">
        <f>E117+F117+G117+H117+I117</f>
        <v>36.036425000000001</v>
      </c>
      <c r="K117" s="14"/>
      <c r="L117" s="2">
        <f>J117*K117</f>
        <v>0</v>
      </c>
      <c r="M117" s="1"/>
    </row>
    <row r="118" spans="1:13" x14ac:dyDescent="0.2">
      <c r="A118" s="1">
        <v>114</v>
      </c>
      <c r="B118" s="1" t="s">
        <v>24</v>
      </c>
      <c r="C118" s="1" t="s">
        <v>129</v>
      </c>
      <c r="D118" s="1" t="s">
        <v>25</v>
      </c>
      <c r="E118" s="7"/>
      <c r="F118" s="11">
        <v>0</v>
      </c>
      <c r="G118" s="11">
        <v>26.71</v>
      </c>
      <c r="H118" s="11">
        <v>0</v>
      </c>
      <c r="I118" s="11">
        <f>(F118+G118+H118)*0.0825</f>
        <v>2.2035750000000003</v>
      </c>
      <c r="J118" s="12">
        <f>E118+F118+G118+H118+I118</f>
        <v>28.913575000000002</v>
      </c>
      <c r="K118" s="14"/>
      <c r="L118" s="2">
        <f>J118*K118</f>
        <v>0</v>
      </c>
      <c r="M118" s="1"/>
    </row>
    <row r="119" spans="1:13" x14ac:dyDescent="0.2">
      <c r="A119" s="1">
        <v>115</v>
      </c>
      <c r="B119" s="1" t="s">
        <v>24</v>
      </c>
      <c r="C119" s="1" t="s">
        <v>130</v>
      </c>
      <c r="D119" s="1" t="s">
        <v>25</v>
      </c>
      <c r="E119" s="7"/>
      <c r="F119" s="8">
        <v>0</v>
      </c>
      <c r="G119" s="8">
        <v>34.08</v>
      </c>
      <c r="H119" s="8">
        <v>0</v>
      </c>
      <c r="I119" s="8">
        <f>(F119+G119+H119)*0.0825</f>
        <v>2.8115999999999999</v>
      </c>
      <c r="J119" s="13">
        <f>E119+F119+G119+H119+I119</f>
        <v>36.891599999999997</v>
      </c>
      <c r="K119" s="14"/>
      <c r="L119" s="2">
        <f>J119*K119</f>
        <v>0</v>
      </c>
      <c r="M119" s="1"/>
    </row>
    <row r="120" spans="1:13" x14ac:dyDescent="0.2">
      <c r="A120" s="1">
        <v>116</v>
      </c>
      <c r="B120" s="1" t="s">
        <v>24</v>
      </c>
      <c r="C120" s="1" t="s">
        <v>131</v>
      </c>
      <c r="D120" s="1" t="s">
        <v>25</v>
      </c>
      <c r="E120" s="7"/>
      <c r="F120" s="11">
        <v>0</v>
      </c>
      <c r="G120" s="11">
        <v>156.83000000000001</v>
      </c>
      <c r="H120" s="11">
        <v>0</v>
      </c>
      <c r="I120" s="11">
        <f>(F120+G120+H120)*0.0825</f>
        <v>12.938475000000002</v>
      </c>
      <c r="J120" s="12">
        <f>E120+F120+G120+H120+I120</f>
        <v>169.76847500000002</v>
      </c>
      <c r="K120" s="14"/>
      <c r="L120" s="2">
        <f>J120*K120</f>
        <v>0</v>
      </c>
      <c r="M120" s="1"/>
    </row>
    <row r="121" spans="1:13" x14ac:dyDescent="0.2">
      <c r="A121" s="1">
        <v>117</v>
      </c>
      <c r="B121" s="1" t="s">
        <v>24</v>
      </c>
      <c r="C121" s="1" t="s">
        <v>132</v>
      </c>
      <c r="D121" s="1" t="s">
        <v>25</v>
      </c>
      <c r="E121" s="7"/>
      <c r="F121" s="9">
        <v>0</v>
      </c>
      <c r="G121" s="9">
        <v>38.01</v>
      </c>
      <c r="H121" s="9">
        <v>0</v>
      </c>
      <c r="I121" s="9">
        <f>(F121+G121+H121)*0.0825</f>
        <v>3.1358250000000001</v>
      </c>
      <c r="J121" s="10">
        <f>E121+F121+G121+H121+I121</f>
        <v>41.145824999999995</v>
      </c>
      <c r="K121" s="14"/>
      <c r="L121" s="2">
        <f>J121*K121</f>
        <v>0</v>
      </c>
      <c r="M121" s="1"/>
    </row>
    <row r="122" spans="1:13" x14ac:dyDescent="0.2">
      <c r="A122" s="1">
        <v>118</v>
      </c>
      <c r="B122" s="1" t="s">
        <v>24</v>
      </c>
      <c r="C122" s="1" t="s">
        <v>133</v>
      </c>
      <c r="D122" s="1" t="s">
        <v>25</v>
      </c>
      <c r="E122" s="7"/>
      <c r="F122" s="11">
        <v>0</v>
      </c>
      <c r="G122" s="11">
        <v>64.78</v>
      </c>
      <c r="H122" s="11">
        <v>0</v>
      </c>
      <c r="I122" s="11">
        <f>(F122+G122+H122)*0.0825</f>
        <v>5.3443500000000004</v>
      </c>
      <c r="J122" s="12">
        <f>E122+F122+G122+H122+I122</f>
        <v>70.124350000000007</v>
      </c>
      <c r="K122" s="14"/>
      <c r="L122" s="2">
        <f>J122*K122</f>
        <v>0</v>
      </c>
      <c r="M122" s="1"/>
    </row>
    <row r="123" spans="1:13" x14ac:dyDescent="0.2">
      <c r="A123" s="1">
        <v>119</v>
      </c>
      <c r="B123" s="1" t="s">
        <v>24</v>
      </c>
      <c r="C123" s="1" t="s">
        <v>134</v>
      </c>
      <c r="D123" s="1" t="s">
        <v>25</v>
      </c>
      <c r="E123" s="7"/>
      <c r="F123" s="8">
        <v>0</v>
      </c>
      <c r="G123" s="8">
        <v>257.77999999999997</v>
      </c>
      <c r="H123" s="8">
        <v>0</v>
      </c>
      <c r="I123" s="8">
        <f>(F123+G123+H123)*0.0825</f>
        <v>21.266849999999998</v>
      </c>
      <c r="J123" s="13">
        <f>E123+F123+G123+H123+I123</f>
        <v>279.04684999999995</v>
      </c>
      <c r="K123" s="14"/>
      <c r="L123" s="2">
        <f>J123*K123</f>
        <v>0</v>
      </c>
      <c r="M123" s="1"/>
    </row>
    <row r="124" spans="1:13" x14ac:dyDescent="0.2">
      <c r="A124" s="1">
        <v>120</v>
      </c>
      <c r="B124" s="1" t="s">
        <v>24</v>
      </c>
      <c r="C124" s="1" t="s">
        <v>135</v>
      </c>
      <c r="D124" s="1" t="s">
        <v>25</v>
      </c>
      <c r="E124" s="7"/>
      <c r="F124" s="11">
        <v>0</v>
      </c>
      <c r="G124" s="11">
        <v>1888.5</v>
      </c>
      <c r="H124" s="11">
        <v>0</v>
      </c>
      <c r="I124" s="11">
        <f>(F124+G124+H124)*0.0825</f>
        <v>155.80125000000001</v>
      </c>
      <c r="J124" s="12">
        <f>E124+F124+G124+H124+I124</f>
        <v>2044.30125</v>
      </c>
      <c r="K124" s="14"/>
      <c r="L124" s="2">
        <f>J124*K124</f>
        <v>0</v>
      </c>
      <c r="M124" s="1"/>
    </row>
    <row r="125" spans="1:13" x14ac:dyDescent="0.2">
      <c r="A125" s="1">
        <v>121</v>
      </c>
      <c r="B125" s="1" t="s">
        <v>24</v>
      </c>
      <c r="C125" s="1" t="s">
        <v>136</v>
      </c>
      <c r="D125" s="1" t="s">
        <v>25</v>
      </c>
      <c r="E125" s="7"/>
      <c r="F125" s="9">
        <v>0</v>
      </c>
      <c r="G125" s="9">
        <v>296.7</v>
      </c>
      <c r="H125" s="9">
        <v>0</v>
      </c>
      <c r="I125" s="9">
        <f>(F125+G125+H125)*0.0825</f>
        <v>24.47775</v>
      </c>
      <c r="J125" s="10">
        <f>E125+F125+G125+H125+I125</f>
        <v>321.17775</v>
      </c>
      <c r="K125" s="14"/>
      <c r="L125" s="2">
        <f>J125*K125</f>
        <v>0</v>
      </c>
      <c r="M125" s="1"/>
    </row>
    <row r="126" spans="1:13" x14ac:dyDescent="0.2">
      <c r="A126" s="1">
        <v>122</v>
      </c>
      <c r="B126" s="1" t="s">
        <v>24</v>
      </c>
      <c r="C126" s="1" t="s">
        <v>137</v>
      </c>
      <c r="D126" s="1" t="s">
        <v>25</v>
      </c>
      <c r="E126" s="7"/>
      <c r="F126" s="11">
        <v>0</v>
      </c>
      <c r="G126" s="11">
        <v>843.59</v>
      </c>
      <c r="H126" s="11">
        <v>0</v>
      </c>
      <c r="I126" s="11">
        <f>(F126+G126+H126)*0.0825</f>
        <v>69.596175000000002</v>
      </c>
      <c r="J126" s="12">
        <f>E126+F126+G126+H126+I126</f>
        <v>913.18617500000005</v>
      </c>
      <c r="K126" s="14"/>
      <c r="L126" s="2">
        <f>J126*K126</f>
        <v>0</v>
      </c>
      <c r="M126" s="1"/>
    </row>
    <row r="127" spans="1:13" x14ac:dyDescent="0.2">
      <c r="A127" s="1">
        <v>123</v>
      </c>
      <c r="B127" s="1" t="s">
        <v>24</v>
      </c>
      <c r="C127" s="1" t="s">
        <v>138</v>
      </c>
      <c r="D127" s="1" t="s">
        <v>25</v>
      </c>
      <c r="E127" s="7"/>
      <c r="F127" s="8">
        <v>0</v>
      </c>
      <c r="G127" s="8">
        <v>239.85</v>
      </c>
      <c r="H127" s="8">
        <v>0</v>
      </c>
      <c r="I127" s="8">
        <f>(F127+G127+H127)*0.0825</f>
        <v>19.787625000000002</v>
      </c>
      <c r="J127" s="13">
        <f>E127+F127+G127+H127+I127</f>
        <v>259.63762500000001</v>
      </c>
      <c r="K127" s="14"/>
      <c r="L127" s="2">
        <f>J127*K127</f>
        <v>0</v>
      </c>
      <c r="M127" s="1"/>
    </row>
    <row r="128" spans="1:13" x14ac:dyDescent="0.2">
      <c r="A128" s="1">
        <v>124</v>
      </c>
      <c r="B128" s="1" t="s">
        <v>24</v>
      </c>
      <c r="C128" s="1" t="s">
        <v>139</v>
      </c>
      <c r="D128" s="1" t="s">
        <v>25</v>
      </c>
      <c r="E128" s="7"/>
      <c r="F128" s="11">
        <v>0</v>
      </c>
      <c r="G128" s="11">
        <v>590.07000000000005</v>
      </c>
      <c r="H128" s="11">
        <v>0</v>
      </c>
      <c r="I128" s="11">
        <f>(F128+G128+H128)*0.0825</f>
        <v>48.680775000000004</v>
      </c>
      <c r="J128" s="12">
        <f>E128+F128+G128+H128+I128</f>
        <v>638.75077500000009</v>
      </c>
      <c r="K128" s="14"/>
      <c r="L128" s="2">
        <f>J128*K128</f>
        <v>0</v>
      </c>
      <c r="M128" s="1"/>
    </row>
    <row r="129" spans="1:13" x14ac:dyDescent="0.2">
      <c r="A129" s="1">
        <v>125</v>
      </c>
      <c r="B129" s="1" t="s">
        <v>24</v>
      </c>
      <c r="C129" s="1" t="s">
        <v>140</v>
      </c>
      <c r="D129" s="1" t="s">
        <v>25</v>
      </c>
      <c r="E129" s="7"/>
      <c r="F129" s="9">
        <v>0</v>
      </c>
      <c r="G129" s="9">
        <v>278.76</v>
      </c>
      <c r="H129" s="9">
        <v>0</v>
      </c>
      <c r="I129" s="9">
        <f>(F129+G129+H129)*0.0825</f>
        <v>22.997700000000002</v>
      </c>
      <c r="J129" s="10">
        <f>E129+F129+G129+H129+I129</f>
        <v>301.7577</v>
      </c>
      <c r="K129" s="14"/>
      <c r="L129" s="2">
        <f>J129*K129</f>
        <v>0</v>
      </c>
      <c r="M129" s="1"/>
    </row>
    <row r="130" spans="1:13" x14ac:dyDescent="0.2">
      <c r="A130" s="1">
        <v>126</v>
      </c>
      <c r="B130" s="1" t="s">
        <v>24</v>
      </c>
      <c r="C130" s="1" t="s">
        <v>141</v>
      </c>
      <c r="D130" s="1" t="s">
        <v>25</v>
      </c>
      <c r="E130" s="7"/>
      <c r="F130" s="11">
        <v>0</v>
      </c>
      <c r="G130" s="11">
        <v>356.58</v>
      </c>
      <c r="H130" s="11">
        <v>0</v>
      </c>
      <c r="I130" s="11">
        <f>(F130+G130+H130)*0.0825</f>
        <v>29.417850000000001</v>
      </c>
      <c r="J130" s="12">
        <f>E130+F130+G130+H130+I130</f>
        <v>385.99784999999997</v>
      </c>
      <c r="K130" s="14"/>
      <c r="L130" s="2">
        <f>J130*K130</f>
        <v>0</v>
      </c>
      <c r="M130" s="1"/>
    </row>
    <row r="131" spans="1:13" x14ac:dyDescent="0.2">
      <c r="A131" s="1">
        <v>127</v>
      </c>
      <c r="B131" s="1" t="s">
        <v>24</v>
      </c>
      <c r="C131" s="1" t="s">
        <v>142</v>
      </c>
      <c r="D131" s="1" t="s">
        <v>25</v>
      </c>
      <c r="E131" s="7"/>
      <c r="F131" s="8">
        <v>0</v>
      </c>
      <c r="G131" s="8">
        <v>377.21</v>
      </c>
      <c r="H131" s="8">
        <v>0</v>
      </c>
      <c r="I131" s="8">
        <f>(F131+G131+H131)*0.0825</f>
        <v>31.119824999999999</v>
      </c>
      <c r="J131" s="13">
        <f>E131+F131+G131+H131+I131</f>
        <v>408.32982499999997</v>
      </c>
      <c r="K131" s="14"/>
      <c r="L131" s="2">
        <f>J131*K131</f>
        <v>0</v>
      </c>
      <c r="M131" s="1"/>
    </row>
    <row r="132" spans="1:13" x14ac:dyDescent="0.2">
      <c r="A132" s="1">
        <v>128</v>
      </c>
      <c r="B132" s="1" t="s">
        <v>24</v>
      </c>
      <c r="C132" s="1" t="s">
        <v>143</v>
      </c>
      <c r="D132" s="1" t="s">
        <v>25</v>
      </c>
      <c r="E132" s="7"/>
      <c r="F132" s="11">
        <v>0</v>
      </c>
      <c r="G132" s="11">
        <v>1589.67</v>
      </c>
      <c r="H132" s="11">
        <v>0</v>
      </c>
      <c r="I132" s="11">
        <f>(F132+G132+H132)*0.0825</f>
        <v>131.14777500000002</v>
      </c>
      <c r="J132" s="12">
        <f>E132+F132+G132+H132+I132</f>
        <v>1720.817775</v>
      </c>
      <c r="K132" s="14"/>
      <c r="L132" s="2">
        <f>J132*K132</f>
        <v>0</v>
      </c>
      <c r="M132" s="1"/>
    </row>
    <row r="133" spans="1:13" x14ac:dyDescent="0.2">
      <c r="A133" s="1">
        <v>129</v>
      </c>
      <c r="B133" s="1" t="s">
        <v>24</v>
      </c>
      <c r="C133" s="1" t="s">
        <v>144</v>
      </c>
      <c r="D133" s="1" t="s">
        <v>25</v>
      </c>
      <c r="E133" s="7"/>
      <c r="F133" s="9">
        <v>0</v>
      </c>
      <c r="G133" s="9">
        <v>513.89</v>
      </c>
      <c r="H133" s="9">
        <v>0</v>
      </c>
      <c r="I133" s="9">
        <f>(F133+G133+H133)*0.0825</f>
        <v>42.395924999999998</v>
      </c>
      <c r="J133" s="10">
        <f>E133+F133+G133+H133+I133</f>
        <v>556.28592500000002</v>
      </c>
      <c r="K133" s="14"/>
      <c r="L133" s="2">
        <f>J133*K133</f>
        <v>0</v>
      </c>
      <c r="M133" s="1"/>
    </row>
    <row r="134" spans="1:13" x14ac:dyDescent="0.2">
      <c r="A134" s="1">
        <v>130</v>
      </c>
      <c r="B134" s="1" t="s">
        <v>24</v>
      </c>
      <c r="C134" s="1" t="s">
        <v>145</v>
      </c>
      <c r="D134" s="1" t="s">
        <v>25</v>
      </c>
      <c r="E134" s="7"/>
      <c r="F134" s="11">
        <v>0</v>
      </c>
      <c r="G134" s="11">
        <v>782.84</v>
      </c>
      <c r="H134" s="11">
        <v>0</v>
      </c>
      <c r="I134" s="11">
        <f>(F134+G134+H134)*0.0825</f>
        <v>64.584299999999999</v>
      </c>
      <c r="J134" s="12">
        <f>E134+F134+G134+H134+I134</f>
        <v>847.42430000000002</v>
      </c>
      <c r="K134" s="14"/>
      <c r="L134" s="2">
        <f>J134*K134</f>
        <v>0</v>
      </c>
      <c r="M134" s="1"/>
    </row>
    <row r="135" spans="1:13" x14ac:dyDescent="0.2">
      <c r="A135" s="1">
        <v>131</v>
      </c>
      <c r="B135" s="1" t="s">
        <v>24</v>
      </c>
      <c r="C135" s="1" t="s">
        <v>146</v>
      </c>
      <c r="D135" s="1" t="s">
        <v>25</v>
      </c>
      <c r="E135" s="7"/>
      <c r="F135" s="8">
        <v>0</v>
      </c>
      <c r="G135" s="8">
        <v>220.25</v>
      </c>
      <c r="H135" s="8">
        <v>0</v>
      </c>
      <c r="I135" s="8">
        <f>(F135+G135+H135)*0.0825</f>
        <v>18.170625000000001</v>
      </c>
      <c r="J135" s="13">
        <f>E135+F135+G135+H135+I135</f>
        <v>238.420625</v>
      </c>
      <c r="K135" s="14"/>
      <c r="L135" s="2">
        <f>J135*K135</f>
        <v>0</v>
      </c>
      <c r="M135" s="1"/>
    </row>
    <row r="136" spans="1:13" x14ac:dyDescent="0.2">
      <c r="A136" s="1">
        <v>132</v>
      </c>
      <c r="B136" s="1" t="s">
        <v>24</v>
      </c>
      <c r="C136" s="1" t="s">
        <v>147</v>
      </c>
      <c r="D136" s="1" t="s">
        <v>25</v>
      </c>
      <c r="E136" s="7"/>
      <c r="F136" s="11">
        <v>0</v>
      </c>
      <c r="G136" s="11">
        <v>437.51</v>
      </c>
      <c r="H136" s="11">
        <v>0</v>
      </c>
      <c r="I136" s="11">
        <f>(F136+G136+H136)*0.0825</f>
        <v>36.094574999999999</v>
      </c>
      <c r="J136" s="12">
        <f>E136+F136+G136+H136+I136</f>
        <v>473.60457500000001</v>
      </c>
      <c r="K136" s="14"/>
      <c r="L136" s="2">
        <f>J136*K136</f>
        <v>0</v>
      </c>
      <c r="M136" s="1"/>
    </row>
    <row r="137" spans="1:13" x14ac:dyDescent="0.2">
      <c r="A137" s="1">
        <v>133</v>
      </c>
      <c r="B137" s="1" t="s">
        <v>24</v>
      </c>
      <c r="C137" s="1" t="s">
        <v>148</v>
      </c>
      <c r="D137" s="1" t="s">
        <v>25</v>
      </c>
      <c r="E137" s="7"/>
      <c r="F137" s="9">
        <v>0</v>
      </c>
      <c r="G137" s="9">
        <v>243.71</v>
      </c>
      <c r="H137" s="9">
        <v>0</v>
      </c>
      <c r="I137" s="9">
        <f>(F137+G137+H137)*0.0825</f>
        <v>20.106075000000001</v>
      </c>
      <c r="J137" s="10">
        <f>E137+F137+G137+H137+I137</f>
        <v>263.81607500000001</v>
      </c>
      <c r="K137" s="14"/>
      <c r="L137" s="2">
        <f>J137*K137</f>
        <v>0</v>
      </c>
      <c r="M137" s="1"/>
    </row>
    <row r="138" spans="1:13" x14ac:dyDescent="0.2">
      <c r="A138" s="1">
        <v>134</v>
      </c>
      <c r="B138" s="1" t="s">
        <v>24</v>
      </c>
      <c r="C138" s="1" t="s">
        <v>149</v>
      </c>
      <c r="D138" s="1" t="s">
        <v>25</v>
      </c>
      <c r="E138" s="7"/>
      <c r="F138" s="11">
        <v>0</v>
      </c>
      <c r="G138" s="11">
        <v>290.57</v>
      </c>
      <c r="H138" s="11">
        <v>0</v>
      </c>
      <c r="I138" s="11">
        <f>(F138+G138+H138)*0.0825</f>
        <v>23.972025000000002</v>
      </c>
      <c r="J138" s="12">
        <f>E138+F138+G138+H138+I138</f>
        <v>314.54202499999997</v>
      </c>
      <c r="K138" s="14"/>
      <c r="L138" s="2">
        <f>J138*K138</f>
        <v>0</v>
      </c>
      <c r="M138" s="1"/>
    </row>
    <row r="139" spans="1:13" x14ac:dyDescent="0.2">
      <c r="A139" s="1">
        <v>135</v>
      </c>
      <c r="B139" s="1" t="s">
        <v>24</v>
      </c>
      <c r="C139" s="1" t="s">
        <v>150</v>
      </c>
      <c r="D139" s="1" t="s">
        <v>25</v>
      </c>
      <c r="E139" s="7"/>
      <c r="F139" s="8">
        <v>0</v>
      </c>
      <c r="G139" s="8">
        <v>511.39</v>
      </c>
      <c r="H139" s="8">
        <v>0</v>
      </c>
      <c r="I139" s="8">
        <f>(F139+G139+H139)*0.0825</f>
        <v>42.189675000000001</v>
      </c>
      <c r="J139" s="13">
        <f>E139+F139+G139+H139+I139</f>
        <v>553.57967499999995</v>
      </c>
      <c r="K139" s="14"/>
      <c r="L139" s="2">
        <f>J139*K139</f>
        <v>0</v>
      </c>
      <c r="M139" s="1"/>
    </row>
    <row r="140" spans="1:13" x14ac:dyDescent="0.2">
      <c r="A140" s="1">
        <v>136</v>
      </c>
      <c r="B140" s="1" t="s">
        <v>24</v>
      </c>
      <c r="C140" s="1" t="s">
        <v>151</v>
      </c>
      <c r="D140" s="1" t="s">
        <v>25</v>
      </c>
      <c r="E140" s="7"/>
      <c r="F140" s="11">
        <v>0</v>
      </c>
      <c r="G140" s="11">
        <v>513.22</v>
      </c>
      <c r="H140" s="11">
        <v>0</v>
      </c>
      <c r="I140" s="11">
        <f>(F140+G140+H140)*0.0825</f>
        <v>42.340650000000004</v>
      </c>
      <c r="J140" s="12">
        <f>E140+F140+G140+H140+I140</f>
        <v>555.56065000000001</v>
      </c>
      <c r="K140" s="14"/>
      <c r="L140" s="2">
        <f>J140*K140</f>
        <v>0</v>
      </c>
      <c r="M140" s="1"/>
    </row>
    <row r="141" spans="1:13" x14ac:dyDescent="0.2">
      <c r="A141" s="1">
        <v>137</v>
      </c>
      <c r="B141" s="1" t="s">
        <v>24</v>
      </c>
      <c r="C141" s="1" t="s">
        <v>152</v>
      </c>
      <c r="D141" s="1" t="s">
        <v>25</v>
      </c>
      <c r="E141" s="7"/>
      <c r="F141" s="9">
        <v>0</v>
      </c>
      <c r="G141" s="9">
        <v>239.03</v>
      </c>
      <c r="H141" s="9">
        <v>0</v>
      </c>
      <c r="I141" s="9">
        <f>(F141+G141+H141)*0.0825</f>
        <v>19.719975000000002</v>
      </c>
      <c r="J141" s="10">
        <f>E141+F141+G141+H141+I141</f>
        <v>258.74997500000001</v>
      </c>
      <c r="K141" s="14"/>
      <c r="L141" s="2">
        <f>J141*K141</f>
        <v>0</v>
      </c>
      <c r="M141" s="1"/>
    </row>
    <row r="142" spans="1:13" x14ac:dyDescent="0.2">
      <c r="A142" s="1">
        <v>138</v>
      </c>
      <c r="B142" s="1" t="s">
        <v>24</v>
      </c>
      <c r="C142" s="1" t="s">
        <v>153</v>
      </c>
      <c r="D142" s="1" t="s">
        <v>25</v>
      </c>
      <c r="E142" s="7"/>
      <c r="F142" s="11">
        <v>0</v>
      </c>
      <c r="G142" s="11">
        <v>239.22</v>
      </c>
      <c r="H142" s="11">
        <v>0</v>
      </c>
      <c r="I142" s="11">
        <f>(F142+G142+H142)*0.0825</f>
        <v>19.73565</v>
      </c>
      <c r="J142" s="12">
        <f>E142+F142+G142+H142+I142</f>
        <v>258.95564999999999</v>
      </c>
      <c r="K142" s="14"/>
      <c r="L142" s="2">
        <f>J142*K142</f>
        <v>0</v>
      </c>
      <c r="M142" s="1"/>
    </row>
    <row r="143" spans="1:13" x14ac:dyDescent="0.2">
      <c r="A143" s="1">
        <v>139</v>
      </c>
      <c r="B143" s="1" t="s">
        <v>24</v>
      </c>
      <c r="C143" s="1" t="s">
        <v>154</v>
      </c>
      <c r="D143" s="1" t="s">
        <v>25</v>
      </c>
      <c r="E143" s="7"/>
      <c r="F143" s="8">
        <v>0</v>
      </c>
      <c r="G143" s="8">
        <v>587.04999999999995</v>
      </c>
      <c r="H143" s="8">
        <v>0</v>
      </c>
      <c r="I143" s="8">
        <f>(F143+G143+H143)*0.0825</f>
        <v>48.431624999999997</v>
      </c>
      <c r="J143" s="13">
        <f>E143+F143+G143+H143+I143</f>
        <v>635.48162499999989</v>
      </c>
      <c r="K143" s="14"/>
      <c r="L143" s="2">
        <f>J143*K143</f>
        <v>0</v>
      </c>
      <c r="M143" s="1"/>
    </row>
    <row r="144" spans="1:13" x14ac:dyDescent="0.2">
      <c r="A144" s="1">
        <v>140</v>
      </c>
      <c r="B144" s="1" t="s">
        <v>24</v>
      </c>
      <c r="C144" s="1" t="s">
        <v>155</v>
      </c>
      <c r="D144" s="1" t="s">
        <v>25</v>
      </c>
      <c r="E144" s="7"/>
      <c r="F144" s="11">
        <v>0</v>
      </c>
      <c r="G144" s="11">
        <v>589.34</v>
      </c>
      <c r="H144" s="11">
        <v>0</v>
      </c>
      <c r="I144" s="11">
        <f>(F144+G144+H144)*0.0825</f>
        <v>48.620550000000001</v>
      </c>
      <c r="J144" s="12">
        <f>E144+F144+G144+H144+I144</f>
        <v>637.96055000000001</v>
      </c>
      <c r="K144" s="14"/>
      <c r="L144" s="2">
        <f>J144*K144</f>
        <v>0</v>
      </c>
      <c r="M144" s="1"/>
    </row>
    <row r="145" spans="1:13" x14ac:dyDescent="0.2">
      <c r="A145" s="1">
        <v>141</v>
      </c>
      <c r="B145" s="1" t="s">
        <v>24</v>
      </c>
      <c r="C145" s="1" t="s">
        <v>156</v>
      </c>
      <c r="D145" s="1" t="s">
        <v>25</v>
      </c>
      <c r="E145" s="7"/>
      <c r="F145" s="9">
        <v>0</v>
      </c>
      <c r="G145" s="9">
        <v>284.42</v>
      </c>
      <c r="H145" s="9">
        <v>0</v>
      </c>
      <c r="I145" s="9">
        <f>(F145+G145+H145)*0.0825</f>
        <v>23.464650000000002</v>
      </c>
      <c r="J145" s="10">
        <f>E145+F145+G145+H145+I145</f>
        <v>307.88465000000002</v>
      </c>
      <c r="K145" s="14"/>
      <c r="L145" s="2">
        <f>J145*K145</f>
        <v>0</v>
      </c>
      <c r="M145" s="1"/>
    </row>
    <row r="146" spans="1:13" x14ac:dyDescent="0.2">
      <c r="A146" s="1">
        <v>142</v>
      </c>
      <c r="B146" s="1" t="s">
        <v>24</v>
      </c>
      <c r="C146" s="1" t="s">
        <v>157</v>
      </c>
      <c r="D146" s="1" t="s">
        <v>25</v>
      </c>
      <c r="E146" s="7"/>
      <c r="F146" s="11">
        <v>0</v>
      </c>
      <c r="G146" s="11">
        <v>284.88</v>
      </c>
      <c r="H146" s="11">
        <v>0</v>
      </c>
      <c r="I146" s="11">
        <f>(F146+G146+H146)*0.0825</f>
        <v>23.502600000000001</v>
      </c>
      <c r="J146" s="12">
        <f>E146+F146+G146+H146+I146</f>
        <v>308.38260000000002</v>
      </c>
      <c r="K146" s="14"/>
      <c r="L146" s="2">
        <f>J146*K146</f>
        <v>0</v>
      </c>
      <c r="M146" s="1"/>
    </row>
    <row r="147" spans="1:13" x14ac:dyDescent="0.2">
      <c r="A147" s="1">
        <v>143</v>
      </c>
      <c r="B147" s="1" t="s">
        <v>24</v>
      </c>
      <c r="C147" s="1" t="s">
        <v>158</v>
      </c>
      <c r="D147" s="1" t="s">
        <v>25</v>
      </c>
      <c r="E147" s="7"/>
      <c r="F147" s="8">
        <v>0</v>
      </c>
      <c r="G147" s="8">
        <v>360.09</v>
      </c>
      <c r="H147" s="8">
        <v>0</v>
      </c>
      <c r="I147" s="8">
        <f>(F147+G147+H147)*0.0825</f>
        <v>29.707425000000001</v>
      </c>
      <c r="J147" s="13">
        <f>E147+F147+G147+H147+I147</f>
        <v>389.79742499999998</v>
      </c>
      <c r="K147" s="14"/>
      <c r="L147" s="2">
        <f>J147*K147</f>
        <v>0</v>
      </c>
      <c r="M147" s="1"/>
    </row>
    <row r="148" spans="1:13" x14ac:dyDescent="0.2">
      <c r="A148" s="1">
        <v>144</v>
      </c>
      <c r="B148" s="1" t="s">
        <v>24</v>
      </c>
      <c r="C148" s="1" t="s">
        <v>159</v>
      </c>
      <c r="D148" s="1" t="s">
        <v>25</v>
      </c>
      <c r="E148" s="7"/>
      <c r="F148" s="11">
        <v>0</v>
      </c>
      <c r="G148" s="11">
        <v>360.99</v>
      </c>
      <c r="H148" s="11">
        <v>0</v>
      </c>
      <c r="I148" s="11">
        <f>(F148+G148+H148)*0.0825</f>
        <v>29.781675000000003</v>
      </c>
      <c r="J148" s="12">
        <f>E148+F148+G148+H148+I148</f>
        <v>390.77167500000002</v>
      </c>
      <c r="K148" s="14"/>
      <c r="L148" s="2">
        <f>J148*K148</f>
        <v>0</v>
      </c>
      <c r="M148" s="1"/>
    </row>
    <row r="149" spans="1:13" x14ac:dyDescent="0.2">
      <c r="A149" s="1">
        <v>145</v>
      </c>
      <c r="B149" s="1" t="s">
        <v>24</v>
      </c>
      <c r="C149" s="1" t="s">
        <v>160</v>
      </c>
      <c r="D149" s="1" t="s">
        <v>25</v>
      </c>
      <c r="E149" s="7"/>
      <c r="F149" s="9">
        <v>0</v>
      </c>
      <c r="G149" s="9">
        <v>223.9</v>
      </c>
      <c r="H149" s="9">
        <v>0</v>
      </c>
      <c r="I149" s="9">
        <f>(F149+G149+H149)*0.0825</f>
        <v>18.47175</v>
      </c>
      <c r="J149" s="10">
        <f>E149+F149+G149+H149+I149</f>
        <v>242.37175000000002</v>
      </c>
      <c r="K149" s="14"/>
      <c r="L149" s="2">
        <f>J149*K149</f>
        <v>0</v>
      </c>
      <c r="M149" s="1"/>
    </row>
    <row r="150" spans="1:13" x14ac:dyDescent="0.2">
      <c r="A150" s="1">
        <v>146</v>
      </c>
      <c r="B150" s="1" t="s">
        <v>24</v>
      </c>
      <c r="C150" s="1" t="s">
        <v>161</v>
      </c>
      <c r="D150" s="1" t="s">
        <v>25</v>
      </c>
      <c r="E150" s="7"/>
      <c r="F150" s="11">
        <v>0</v>
      </c>
      <c r="G150" s="11">
        <v>223.99</v>
      </c>
      <c r="H150" s="11">
        <v>0</v>
      </c>
      <c r="I150" s="11">
        <f>(F150+G150+H150)*0.0825</f>
        <v>18.479175000000001</v>
      </c>
      <c r="J150" s="12">
        <f>E150+F150+G150+H150+I150</f>
        <v>242.46917500000001</v>
      </c>
      <c r="K150" s="14"/>
      <c r="L150" s="2">
        <f>J150*K150</f>
        <v>0</v>
      </c>
      <c r="M150" s="1"/>
    </row>
    <row r="151" spans="1:13" x14ac:dyDescent="0.2">
      <c r="A151" s="1">
        <v>147</v>
      </c>
      <c r="B151" s="1" t="s">
        <v>24</v>
      </c>
      <c r="C151" s="1" t="s">
        <v>162</v>
      </c>
      <c r="D151" s="1" t="s">
        <v>25</v>
      </c>
      <c r="E151" s="7"/>
      <c r="F151" s="8">
        <v>0</v>
      </c>
      <c r="G151" s="8">
        <v>435.73</v>
      </c>
      <c r="H151" s="8">
        <v>0</v>
      </c>
      <c r="I151" s="8">
        <f>(F151+G151+H151)*0.0825</f>
        <v>35.947725000000005</v>
      </c>
      <c r="J151" s="13">
        <f>E151+F151+G151+H151+I151</f>
        <v>471.67772500000001</v>
      </c>
      <c r="K151" s="14"/>
      <c r="L151" s="2">
        <f>J151*K151</f>
        <v>0</v>
      </c>
      <c r="M151" s="1"/>
    </row>
    <row r="152" spans="1:13" x14ac:dyDescent="0.2">
      <c r="A152" s="1">
        <v>148</v>
      </c>
      <c r="B152" s="1" t="s">
        <v>24</v>
      </c>
      <c r="C152" s="1" t="s">
        <v>163</v>
      </c>
      <c r="D152" s="1" t="s">
        <v>25</v>
      </c>
      <c r="E152" s="7"/>
      <c r="F152" s="11">
        <v>0</v>
      </c>
      <c r="G152" s="11">
        <v>437.12</v>
      </c>
      <c r="H152" s="11">
        <v>0</v>
      </c>
      <c r="I152" s="11">
        <f>(F152+G152+H152)*0.0825</f>
        <v>36.062400000000004</v>
      </c>
      <c r="J152" s="12">
        <f>E152+F152+G152+H152+I152</f>
        <v>473.18240000000003</v>
      </c>
      <c r="K152" s="14"/>
      <c r="L152" s="2">
        <f>J152*K152</f>
        <v>0</v>
      </c>
      <c r="M152" s="1"/>
    </row>
    <row r="153" spans="1:13" x14ac:dyDescent="0.2">
      <c r="A153" s="1">
        <v>149</v>
      </c>
      <c r="B153" s="1" t="s">
        <v>24</v>
      </c>
      <c r="C153" s="1" t="s">
        <v>164</v>
      </c>
      <c r="D153" s="1" t="s">
        <v>25</v>
      </c>
      <c r="E153" s="7"/>
      <c r="F153" s="9">
        <v>0</v>
      </c>
      <c r="G153" s="9">
        <v>0</v>
      </c>
      <c r="H153" s="9">
        <v>18.93</v>
      </c>
      <c r="I153" s="9">
        <f>(F153+G153+H153)*0.0825</f>
        <v>1.561725</v>
      </c>
      <c r="J153" s="10">
        <f>E153+F153+G153+H153+I153</f>
        <v>20.491724999999999</v>
      </c>
      <c r="K153" s="14"/>
      <c r="L153" s="2">
        <f>J153*K153</f>
        <v>0</v>
      </c>
      <c r="M153" s="1"/>
    </row>
    <row r="154" spans="1:13" x14ac:dyDescent="0.2">
      <c r="A154" s="1">
        <v>150</v>
      </c>
      <c r="B154" s="1" t="s">
        <v>24</v>
      </c>
      <c r="C154" s="1" t="s">
        <v>165</v>
      </c>
      <c r="D154" s="1" t="s">
        <v>25</v>
      </c>
      <c r="E154" s="7"/>
      <c r="F154" s="11">
        <v>0</v>
      </c>
      <c r="G154" s="11">
        <v>0</v>
      </c>
      <c r="H154" s="11">
        <v>0.19</v>
      </c>
      <c r="I154" s="11">
        <f>(F154+G154+H154)*0.0825</f>
        <v>1.5675000000000001E-2</v>
      </c>
      <c r="J154" s="12">
        <f>E154+F154+G154+H154+I154</f>
        <v>0.205675</v>
      </c>
      <c r="K154" s="14"/>
      <c r="L154" s="2">
        <f>J154*K154</f>
        <v>0</v>
      </c>
      <c r="M154" s="1"/>
    </row>
    <row r="155" spans="1:13" x14ac:dyDescent="0.2">
      <c r="A155" s="1">
        <v>151</v>
      </c>
      <c r="B155" s="1" t="s">
        <v>24</v>
      </c>
      <c r="C155" s="1" t="s">
        <v>166</v>
      </c>
      <c r="D155" s="1" t="s">
        <v>25</v>
      </c>
      <c r="E155" s="7"/>
      <c r="F155" s="8">
        <v>0</v>
      </c>
      <c r="G155" s="8">
        <v>0</v>
      </c>
      <c r="H155" s="8">
        <v>0.19</v>
      </c>
      <c r="I155" s="8">
        <f>(F155+G155+H155)*0.0825</f>
        <v>1.5675000000000001E-2</v>
      </c>
      <c r="J155" s="13">
        <f>E155+F155+G155+H155+I155</f>
        <v>0.205675</v>
      </c>
      <c r="K155" s="14"/>
      <c r="L155" s="2">
        <f>J155*K155</f>
        <v>0</v>
      </c>
      <c r="M155" s="1"/>
    </row>
    <row r="156" spans="1:13" x14ac:dyDescent="0.2">
      <c r="A156" s="1">
        <v>152</v>
      </c>
      <c r="B156" s="1" t="s">
        <v>24</v>
      </c>
      <c r="C156" s="1" t="s">
        <v>167</v>
      </c>
      <c r="D156" s="1" t="s">
        <v>25</v>
      </c>
      <c r="E156" s="7"/>
      <c r="F156" s="11">
        <v>0</v>
      </c>
      <c r="G156" s="11">
        <v>9.4700000000000006</v>
      </c>
      <c r="H156" s="11">
        <v>0</v>
      </c>
      <c r="I156" s="11">
        <f>(F156+G156+H156)*0.0825</f>
        <v>0.78127500000000005</v>
      </c>
      <c r="J156" s="12">
        <f>E156+F156+G156+H156+I156</f>
        <v>10.251275000000001</v>
      </c>
      <c r="K156" s="14"/>
      <c r="L156" s="2">
        <f>J156*K156</f>
        <v>0</v>
      </c>
      <c r="M156" s="1"/>
    </row>
    <row r="157" spans="1:13" x14ac:dyDescent="0.2">
      <c r="A157" s="1">
        <v>153</v>
      </c>
      <c r="B157" s="1" t="s">
        <v>24</v>
      </c>
      <c r="C157" s="1" t="s">
        <v>168</v>
      </c>
      <c r="D157" s="1" t="s">
        <v>25</v>
      </c>
      <c r="E157" s="7"/>
      <c r="F157" s="9">
        <v>0</v>
      </c>
      <c r="G157" s="9">
        <v>107.97</v>
      </c>
      <c r="H157" s="9">
        <v>0</v>
      </c>
      <c r="I157" s="9">
        <f>(F157+G157+H157)*0.0825</f>
        <v>8.9075249999999997</v>
      </c>
      <c r="J157" s="10">
        <f>E157+F157+G157+H157+I157</f>
        <v>116.87752499999999</v>
      </c>
      <c r="K157" s="14"/>
      <c r="L157" s="2">
        <f>J157*K157</f>
        <v>0</v>
      </c>
      <c r="M157" s="1"/>
    </row>
    <row r="158" spans="1:13" x14ac:dyDescent="0.2">
      <c r="A158" s="1">
        <v>154</v>
      </c>
      <c r="B158" s="1" t="s">
        <v>24</v>
      </c>
      <c r="C158" s="1" t="s">
        <v>169</v>
      </c>
      <c r="D158" s="1" t="s">
        <v>25</v>
      </c>
      <c r="E158" s="7"/>
      <c r="F158" s="11">
        <v>0</v>
      </c>
      <c r="G158" s="11">
        <v>7.42</v>
      </c>
      <c r="H158" s="11">
        <v>0</v>
      </c>
      <c r="I158" s="11">
        <f>(F158+G158+H158)*0.0825</f>
        <v>0.61214999999999997</v>
      </c>
      <c r="J158" s="12">
        <f>E158+F158+G158+H158+I158</f>
        <v>8.0321499999999997</v>
      </c>
      <c r="K158" s="14"/>
      <c r="L158" s="2">
        <f>J158*K158</f>
        <v>0</v>
      </c>
      <c r="M158" s="1"/>
    </row>
    <row r="159" spans="1:13" x14ac:dyDescent="0.2">
      <c r="A159" s="1">
        <v>155</v>
      </c>
      <c r="B159" s="1" t="s">
        <v>24</v>
      </c>
      <c r="C159" s="1" t="s">
        <v>170</v>
      </c>
      <c r="D159" s="1" t="s">
        <v>25</v>
      </c>
      <c r="E159" s="7"/>
      <c r="F159" s="8">
        <v>0</v>
      </c>
      <c r="G159" s="8">
        <v>7.42</v>
      </c>
      <c r="H159" s="8">
        <v>0</v>
      </c>
      <c r="I159" s="8">
        <f>(F159+G159+H159)*0.0825</f>
        <v>0.61214999999999997</v>
      </c>
      <c r="J159" s="13">
        <f>E159+F159+G159+H159+I159</f>
        <v>8.0321499999999997</v>
      </c>
      <c r="K159" s="14"/>
      <c r="L159" s="2">
        <f>J159*K159</f>
        <v>0</v>
      </c>
      <c r="M159" s="1"/>
    </row>
    <row r="160" spans="1:13" x14ac:dyDescent="0.2">
      <c r="A160" s="1">
        <v>156</v>
      </c>
      <c r="B160" s="1" t="s">
        <v>24</v>
      </c>
      <c r="C160" s="1" t="s">
        <v>171</v>
      </c>
      <c r="D160" s="1" t="s">
        <v>25</v>
      </c>
      <c r="E160" s="7"/>
      <c r="F160" s="11">
        <v>0</v>
      </c>
      <c r="G160" s="11">
        <v>58.19</v>
      </c>
      <c r="H160" s="11">
        <v>0</v>
      </c>
      <c r="I160" s="11">
        <f>(F160+G160+H160)*0.0825</f>
        <v>4.800675</v>
      </c>
      <c r="J160" s="12">
        <f>E160+F160+G160+H160+I160</f>
        <v>62.990674999999996</v>
      </c>
      <c r="K160" s="14"/>
      <c r="L160" s="2">
        <f>J160*K160</f>
        <v>0</v>
      </c>
      <c r="M160" s="1"/>
    </row>
    <row r="161" spans="1:13" x14ac:dyDescent="0.2">
      <c r="A161" s="1">
        <v>157</v>
      </c>
      <c r="B161" s="1" t="s">
        <v>24</v>
      </c>
      <c r="C161" s="1" t="s">
        <v>172</v>
      </c>
      <c r="D161" s="1" t="s">
        <v>25</v>
      </c>
      <c r="E161" s="7"/>
      <c r="F161" s="9">
        <v>0</v>
      </c>
      <c r="G161" s="9">
        <v>17</v>
      </c>
      <c r="H161" s="9">
        <v>0.87</v>
      </c>
      <c r="I161" s="9">
        <f>(F161+G161+H161)*0.0825</f>
        <v>1.4742750000000002</v>
      </c>
      <c r="J161" s="10">
        <f>E161+F161+G161+H161+I161</f>
        <v>19.344275</v>
      </c>
      <c r="K161" s="14"/>
      <c r="L161" s="2">
        <f>J161*K161</f>
        <v>0</v>
      </c>
      <c r="M161" s="1"/>
    </row>
    <row r="162" spans="1:13" x14ac:dyDescent="0.2">
      <c r="A162" s="1">
        <v>158</v>
      </c>
      <c r="B162" s="1" t="s">
        <v>24</v>
      </c>
      <c r="C162" s="1" t="s">
        <v>173</v>
      </c>
      <c r="D162" s="1" t="s">
        <v>25</v>
      </c>
      <c r="E162" s="7"/>
      <c r="F162" s="11">
        <v>0</v>
      </c>
      <c r="G162" s="11">
        <v>10.72</v>
      </c>
      <c r="H162" s="11">
        <v>0.87</v>
      </c>
      <c r="I162" s="11">
        <f>(F162+G162+H162)*0.0825</f>
        <v>0.956175</v>
      </c>
      <c r="J162" s="12">
        <f>E162+F162+G162+H162+I162</f>
        <v>12.546175</v>
      </c>
      <c r="K162" s="14"/>
      <c r="L162" s="2">
        <f>J162*K162</f>
        <v>0</v>
      </c>
      <c r="M162" s="1"/>
    </row>
    <row r="163" spans="1:13" x14ac:dyDescent="0.2">
      <c r="A163" s="1">
        <v>159</v>
      </c>
      <c r="B163" s="1" t="s">
        <v>24</v>
      </c>
      <c r="C163" s="1" t="s">
        <v>174</v>
      </c>
      <c r="D163" s="1" t="s">
        <v>25</v>
      </c>
      <c r="E163" s="7"/>
      <c r="F163" s="8">
        <v>0</v>
      </c>
      <c r="G163" s="8">
        <v>15.97</v>
      </c>
      <c r="H163" s="8">
        <v>0.87</v>
      </c>
      <c r="I163" s="8">
        <f>(F163+G163+H163)*0.0825</f>
        <v>1.3893</v>
      </c>
      <c r="J163" s="13">
        <f>E163+F163+G163+H163+I163</f>
        <v>18.229299999999999</v>
      </c>
      <c r="K163" s="14"/>
      <c r="L163" s="2">
        <f>J163*K163</f>
        <v>0</v>
      </c>
      <c r="M163" s="1"/>
    </row>
    <row r="164" spans="1:13" x14ac:dyDescent="0.2">
      <c r="A164" s="1">
        <v>160</v>
      </c>
      <c r="B164" s="1" t="s">
        <v>24</v>
      </c>
      <c r="C164" s="1" t="s">
        <v>175</v>
      </c>
      <c r="D164" s="1" t="s">
        <v>25</v>
      </c>
      <c r="E164" s="7"/>
      <c r="F164" s="11">
        <v>0</v>
      </c>
      <c r="G164" s="11">
        <v>0</v>
      </c>
      <c r="H164" s="11">
        <v>18.059999999999999</v>
      </c>
      <c r="I164" s="11">
        <f>(F164+G164+H164)*0.0825</f>
        <v>1.4899499999999999</v>
      </c>
      <c r="J164" s="12">
        <f>E164+F164+G164+H164+I164</f>
        <v>19.549949999999999</v>
      </c>
      <c r="K164" s="14"/>
      <c r="L164" s="2">
        <f>J164*K164</f>
        <v>0</v>
      </c>
      <c r="M164" s="1"/>
    </row>
    <row r="165" spans="1:13" x14ac:dyDescent="0.2">
      <c r="A165" s="1">
        <v>161</v>
      </c>
      <c r="B165" s="1" t="s">
        <v>24</v>
      </c>
      <c r="C165" s="1" t="s">
        <v>176</v>
      </c>
      <c r="D165" s="1" t="s">
        <v>25</v>
      </c>
      <c r="E165" s="7"/>
      <c r="F165" s="9">
        <v>0</v>
      </c>
      <c r="G165" s="9">
        <v>0</v>
      </c>
      <c r="H165" s="9">
        <v>23.22</v>
      </c>
      <c r="I165" s="9">
        <f>(F165+G165+H165)*0.0825</f>
        <v>1.9156500000000001</v>
      </c>
      <c r="J165" s="10">
        <f>E165+F165+G165+H165+I165</f>
        <v>25.135649999999998</v>
      </c>
      <c r="K165" s="14"/>
      <c r="L165" s="2">
        <f>J165*K165</f>
        <v>0</v>
      </c>
      <c r="M165" s="1"/>
    </row>
    <row r="166" spans="1:13" x14ac:dyDescent="0.2">
      <c r="A166" s="1">
        <v>162</v>
      </c>
      <c r="B166" s="1" t="s">
        <v>24</v>
      </c>
      <c r="C166" s="1" t="s">
        <v>177</v>
      </c>
      <c r="D166" s="1" t="s">
        <v>25</v>
      </c>
      <c r="E166" s="7"/>
      <c r="F166" s="11">
        <v>0</v>
      </c>
      <c r="G166" s="11">
        <v>0</v>
      </c>
      <c r="H166" s="11">
        <v>12.77</v>
      </c>
      <c r="I166" s="11">
        <f>(F166+G166+H166)*0.0825</f>
        <v>1.053525</v>
      </c>
      <c r="J166" s="12">
        <f>E166+F166+G166+H166+I166</f>
        <v>13.823525</v>
      </c>
      <c r="K166" s="14"/>
      <c r="L166" s="2">
        <f>J166*K166</f>
        <v>0</v>
      </c>
      <c r="M166" s="1"/>
    </row>
    <row r="167" spans="1:13" x14ac:dyDescent="0.2">
      <c r="A167" s="1">
        <v>163</v>
      </c>
      <c r="B167" s="1" t="s">
        <v>24</v>
      </c>
      <c r="C167" s="1" t="s">
        <v>178</v>
      </c>
      <c r="D167" s="1" t="s">
        <v>25</v>
      </c>
      <c r="E167" s="7"/>
      <c r="F167" s="8">
        <v>0</v>
      </c>
      <c r="G167" s="8">
        <v>0</v>
      </c>
      <c r="H167" s="8">
        <v>20.54</v>
      </c>
      <c r="I167" s="8">
        <f>(F167+G167+H167)*0.0825</f>
        <v>1.69455</v>
      </c>
      <c r="J167" s="13">
        <f>E167+F167+G167+H167+I167</f>
        <v>22.234549999999999</v>
      </c>
      <c r="K167" s="14"/>
      <c r="L167" s="2">
        <f>J167*K167</f>
        <v>0</v>
      </c>
      <c r="M167" s="1"/>
    </row>
    <row r="168" spans="1:13" x14ac:dyDescent="0.2">
      <c r="A168" s="1">
        <v>164</v>
      </c>
      <c r="B168" s="1" t="s">
        <v>24</v>
      </c>
      <c r="C168" s="1" t="s">
        <v>179</v>
      </c>
      <c r="D168" s="1" t="s">
        <v>25</v>
      </c>
      <c r="E168" s="7"/>
      <c r="F168" s="11">
        <v>0</v>
      </c>
      <c r="G168" s="11">
        <v>0</v>
      </c>
      <c r="H168" s="11">
        <v>11.69</v>
      </c>
      <c r="I168" s="11">
        <f>(F168+G168+H168)*0.0825</f>
        <v>0.96442499999999998</v>
      </c>
      <c r="J168" s="12">
        <f>E168+F168+G168+H168+I168</f>
        <v>12.654425</v>
      </c>
      <c r="K168" s="14"/>
      <c r="L168" s="2">
        <f>J168*K168</f>
        <v>0</v>
      </c>
      <c r="M168" s="1"/>
    </row>
    <row r="169" spans="1:13" x14ac:dyDescent="0.2">
      <c r="A169" s="1">
        <v>165</v>
      </c>
      <c r="B169" s="1" t="s">
        <v>24</v>
      </c>
      <c r="C169" s="1" t="s">
        <v>180</v>
      </c>
      <c r="D169" s="1" t="s">
        <v>25</v>
      </c>
      <c r="E169" s="7"/>
      <c r="F169" s="9">
        <v>0</v>
      </c>
      <c r="G169" s="9">
        <v>0</v>
      </c>
      <c r="H169" s="9">
        <v>8</v>
      </c>
      <c r="I169" s="9">
        <f>(F169+G169+H169)*0.0825</f>
        <v>0.66</v>
      </c>
      <c r="J169" s="10">
        <f>E169+F169+G169+H169+I169</f>
        <v>8.66</v>
      </c>
      <c r="K169" s="14"/>
      <c r="L169" s="2">
        <f>J169*K169</f>
        <v>0</v>
      </c>
      <c r="M169" s="1"/>
    </row>
    <row r="170" spans="1:13" x14ac:dyDescent="0.2">
      <c r="A170" s="1">
        <v>166</v>
      </c>
      <c r="B170" s="1" t="s">
        <v>24</v>
      </c>
      <c r="C170" s="1" t="s">
        <v>181</v>
      </c>
      <c r="D170" s="1" t="s">
        <v>25</v>
      </c>
      <c r="E170" s="7"/>
      <c r="F170" s="11">
        <v>0</v>
      </c>
      <c r="G170" s="11">
        <v>0</v>
      </c>
      <c r="H170" s="11">
        <v>16.690000000000001</v>
      </c>
      <c r="I170" s="11">
        <f>(F170+G170+H170)*0.0825</f>
        <v>1.3769250000000002</v>
      </c>
      <c r="J170" s="12">
        <f>E170+F170+G170+H170+I170</f>
        <v>18.066925000000001</v>
      </c>
      <c r="K170" s="14"/>
      <c r="L170" s="2">
        <f>J170*K170</f>
        <v>0</v>
      </c>
      <c r="M170" s="1"/>
    </row>
    <row r="171" spans="1:13" x14ac:dyDescent="0.2">
      <c r="A171" s="1">
        <v>167</v>
      </c>
      <c r="B171" s="1" t="s">
        <v>24</v>
      </c>
      <c r="C171" s="1" t="s">
        <v>182</v>
      </c>
      <c r="D171" s="1" t="s">
        <v>25</v>
      </c>
      <c r="E171" s="7"/>
      <c r="F171" s="8">
        <v>0</v>
      </c>
      <c r="G171" s="8">
        <v>0</v>
      </c>
      <c r="H171" s="8">
        <v>34.75</v>
      </c>
      <c r="I171" s="8">
        <f>(F171+G171+H171)*0.0825</f>
        <v>2.8668750000000003</v>
      </c>
      <c r="J171" s="13">
        <f>E171+F171+G171+H171+I171</f>
        <v>37.616875</v>
      </c>
      <c r="K171" s="14"/>
      <c r="L171" s="2">
        <f>J171*K171</f>
        <v>0</v>
      </c>
      <c r="M171" s="1"/>
    </row>
    <row r="172" spans="1:13" x14ac:dyDescent="0.2">
      <c r="A172" s="1">
        <v>168</v>
      </c>
      <c r="B172" s="1" t="s">
        <v>24</v>
      </c>
      <c r="C172" s="1" t="s">
        <v>183</v>
      </c>
      <c r="D172" s="1" t="s">
        <v>25</v>
      </c>
      <c r="E172" s="7"/>
      <c r="F172" s="11">
        <v>0</v>
      </c>
      <c r="G172" s="11">
        <v>0</v>
      </c>
      <c r="H172" s="11">
        <v>30.77</v>
      </c>
      <c r="I172" s="11">
        <f>(F172+G172+H172)*0.0825</f>
        <v>2.5385249999999999</v>
      </c>
      <c r="J172" s="12">
        <f>E172+F172+G172+H172+I172</f>
        <v>33.308525000000003</v>
      </c>
      <c r="K172" s="14"/>
      <c r="L172" s="2">
        <f>J172*K172</f>
        <v>0</v>
      </c>
      <c r="M172" s="1"/>
    </row>
    <row r="173" spans="1:13" x14ac:dyDescent="0.2">
      <c r="A173" s="1">
        <v>169</v>
      </c>
      <c r="B173" s="1" t="s">
        <v>24</v>
      </c>
      <c r="C173" s="1" t="s">
        <v>184</v>
      </c>
      <c r="D173" s="1" t="s">
        <v>25</v>
      </c>
      <c r="E173" s="7"/>
      <c r="F173" s="9">
        <v>0</v>
      </c>
      <c r="G173" s="9">
        <v>0</v>
      </c>
      <c r="H173" s="9">
        <v>22.8</v>
      </c>
      <c r="I173" s="9">
        <f>(F173+G173+H173)*0.0825</f>
        <v>1.8810000000000002</v>
      </c>
      <c r="J173" s="10">
        <f>E173+F173+G173+H173+I173</f>
        <v>24.681000000000001</v>
      </c>
      <c r="K173" s="14"/>
      <c r="L173" s="2">
        <f>J173*K173</f>
        <v>0</v>
      </c>
      <c r="M173" s="1"/>
    </row>
    <row r="174" spans="1:13" x14ac:dyDescent="0.2">
      <c r="A174" s="1">
        <v>170</v>
      </c>
      <c r="B174" s="1" t="s">
        <v>24</v>
      </c>
      <c r="C174" s="1" t="s">
        <v>185</v>
      </c>
      <c r="D174" s="1" t="s">
        <v>25</v>
      </c>
      <c r="E174" s="7"/>
      <c r="F174" s="11">
        <v>0</v>
      </c>
      <c r="G174" s="11">
        <v>0</v>
      </c>
      <c r="H174" s="11">
        <v>16.559999999999999</v>
      </c>
      <c r="I174" s="11">
        <f>(F174+G174+H174)*0.0825</f>
        <v>1.3661999999999999</v>
      </c>
      <c r="J174" s="12">
        <f>E174+F174+G174+H174+I174</f>
        <v>17.926199999999998</v>
      </c>
      <c r="K174" s="14"/>
      <c r="L174" s="2">
        <f>J174*K174</f>
        <v>0</v>
      </c>
      <c r="M174" s="1"/>
    </row>
    <row r="175" spans="1:13" x14ac:dyDescent="0.2">
      <c r="A175" s="1">
        <v>171</v>
      </c>
      <c r="B175" s="1" t="s">
        <v>24</v>
      </c>
      <c r="C175" s="1" t="s">
        <v>186</v>
      </c>
      <c r="D175" s="1" t="s">
        <v>25</v>
      </c>
      <c r="E175" s="7"/>
      <c r="F175" s="8">
        <v>0</v>
      </c>
      <c r="G175" s="8">
        <v>0</v>
      </c>
      <c r="H175" s="8">
        <v>19.72</v>
      </c>
      <c r="I175" s="8">
        <f>(F175+G175+H175)*0.0825</f>
        <v>1.6269</v>
      </c>
      <c r="J175" s="13">
        <f>E175+F175+G175+H175+I175</f>
        <v>21.346899999999998</v>
      </c>
      <c r="K175" s="14"/>
      <c r="L175" s="2">
        <f>J175*K175</f>
        <v>0</v>
      </c>
      <c r="M175" s="1"/>
    </row>
    <row r="176" spans="1:13" x14ac:dyDescent="0.2">
      <c r="A176" s="1">
        <v>172</v>
      </c>
      <c r="B176" s="1" t="s">
        <v>24</v>
      </c>
      <c r="C176" s="1" t="s">
        <v>187</v>
      </c>
      <c r="D176" s="1" t="s">
        <v>25</v>
      </c>
      <c r="E176" s="7"/>
      <c r="F176" s="11">
        <v>0</v>
      </c>
      <c r="G176" s="11">
        <v>0</v>
      </c>
      <c r="H176" s="11">
        <v>40.130000000000003</v>
      </c>
      <c r="I176" s="11">
        <f>(F176+G176+H176)*0.0825</f>
        <v>3.3107250000000006</v>
      </c>
      <c r="J176" s="12">
        <f>E176+F176+G176+H176+I176</f>
        <v>43.440725</v>
      </c>
      <c r="K176" s="14"/>
      <c r="L176" s="2">
        <f>J176*K176</f>
        <v>0</v>
      </c>
      <c r="M176" s="1"/>
    </row>
    <row r="177" spans="1:13" x14ac:dyDescent="0.2">
      <c r="A177" s="1">
        <v>173</v>
      </c>
      <c r="B177" s="1" t="s">
        <v>24</v>
      </c>
      <c r="C177" s="1" t="s">
        <v>188</v>
      </c>
      <c r="D177" s="1" t="s">
        <v>25</v>
      </c>
      <c r="E177" s="7"/>
      <c r="F177" s="9">
        <v>0</v>
      </c>
      <c r="G177" s="9">
        <v>0</v>
      </c>
      <c r="H177" s="9">
        <v>24.39</v>
      </c>
      <c r="I177" s="9">
        <f>(F177+G177+H177)*0.0825</f>
        <v>2.012175</v>
      </c>
      <c r="J177" s="12">
        <f>E177+F177+G177+H177+I177</f>
        <v>26.402175</v>
      </c>
      <c r="K177" s="14"/>
      <c r="L177" s="2">
        <f>J177*K177</f>
        <v>0</v>
      </c>
      <c r="M177" s="1"/>
    </row>
    <row r="178" spans="1:13" x14ac:dyDescent="0.2">
      <c r="A178" s="1">
        <v>174</v>
      </c>
      <c r="B178" s="1" t="s">
        <v>196</v>
      </c>
      <c r="C178" s="1" t="s">
        <v>199</v>
      </c>
      <c r="D178" s="1" t="s">
        <v>6</v>
      </c>
      <c r="E178" s="7">
        <v>179</v>
      </c>
      <c r="F178" s="11">
        <v>0</v>
      </c>
      <c r="G178" s="11">
        <v>0</v>
      </c>
      <c r="H178" s="11">
        <v>0</v>
      </c>
      <c r="I178" s="11">
        <f>(F178+G178+H178)*0.0825</f>
        <v>0</v>
      </c>
      <c r="J178" s="12">
        <f>E178+F178+G178+H178+I178</f>
        <v>179</v>
      </c>
      <c r="K178" s="14"/>
      <c r="L178" s="2">
        <f>J178*K178</f>
        <v>0</v>
      </c>
      <c r="M178" s="1"/>
    </row>
    <row r="179" spans="1:13" x14ac:dyDescent="0.2">
      <c r="A179" s="1">
        <v>175</v>
      </c>
      <c r="B179" s="1" t="s">
        <v>196</v>
      </c>
      <c r="C179" s="1" t="s">
        <v>200</v>
      </c>
      <c r="D179" s="1" t="s">
        <v>6</v>
      </c>
      <c r="E179" s="7">
        <v>91</v>
      </c>
      <c r="F179" s="8">
        <v>0</v>
      </c>
      <c r="G179" s="8">
        <v>201.76</v>
      </c>
      <c r="H179" s="8">
        <v>0</v>
      </c>
      <c r="I179" s="8">
        <f>(F179+G179+H179)*0.0825</f>
        <v>16.645199999999999</v>
      </c>
      <c r="J179" s="12">
        <f>E179+F179+G179+H179+I179</f>
        <v>309.40519999999998</v>
      </c>
      <c r="K179" s="14"/>
      <c r="L179" s="2">
        <f>J179*K179</f>
        <v>0</v>
      </c>
      <c r="M179" s="1"/>
    </row>
    <row r="180" spans="1:13" x14ac:dyDescent="0.2">
      <c r="A180" s="1">
        <v>176</v>
      </c>
      <c r="B180" s="1" t="s">
        <v>196</v>
      </c>
      <c r="C180" s="1" t="s">
        <v>201</v>
      </c>
      <c r="D180" s="1" t="s">
        <v>6</v>
      </c>
      <c r="E180" s="7">
        <v>7.19</v>
      </c>
      <c r="F180" s="11">
        <v>0</v>
      </c>
      <c r="G180" s="11">
        <v>0</v>
      </c>
      <c r="H180" s="11">
        <v>0</v>
      </c>
      <c r="I180" s="11">
        <f>(F180+G180+H180)*0.0825</f>
        <v>0</v>
      </c>
      <c r="J180" s="12">
        <f>E180+F180+G180+H180+I180</f>
        <v>7.19</v>
      </c>
      <c r="K180" s="14"/>
      <c r="L180" s="2">
        <f>J180*K180</f>
        <v>0</v>
      </c>
      <c r="M180" s="1"/>
    </row>
    <row r="181" spans="1:13" x14ac:dyDescent="0.2">
      <c r="A181" s="1">
        <v>177</v>
      </c>
      <c r="B181" s="1" t="s">
        <v>12</v>
      </c>
      <c r="C181" s="1" t="s">
        <v>15</v>
      </c>
      <c r="D181" s="1" t="s">
        <v>13</v>
      </c>
      <c r="E181" s="7">
        <v>1.86</v>
      </c>
      <c r="F181" s="9">
        <v>0</v>
      </c>
      <c r="G181" s="9">
        <v>0</v>
      </c>
      <c r="H181" s="9">
        <v>0</v>
      </c>
      <c r="I181" s="9">
        <f>(F181+G181+H181)*0.0825</f>
        <v>0</v>
      </c>
      <c r="J181" s="12">
        <f>E181+F181+G181+H181+I181</f>
        <v>1.86</v>
      </c>
      <c r="K181" s="14"/>
      <c r="L181" s="2">
        <f>J181*K181</f>
        <v>0</v>
      </c>
      <c r="M181" s="1"/>
    </row>
    <row r="182" spans="1:13" x14ac:dyDescent="0.2">
      <c r="A182" s="1">
        <v>178</v>
      </c>
      <c r="B182" s="1" t="s">
        <v>12</v>
      </c>
      <c r="C182" s="1" t="s">
        <v>16</v>
      </c>
      <c r="D182" s="1" t="s">
        <v>13</v>
      </c>
      <c r="E182" s="7">
        <v>1.3</v>
      </c>
      <c r="F182" s="11">
        <v>0</v>
      </c>
      <c r="G182" s="11">
        <v>0</v>
      </c>
      <c r="H182" s="11">
        <v>0</v>
      </c>
      <c r="I182" s="11">
        <f>(F182+G182+H182)*0.0825</f>
        <v>0</v>
      </c>
      <c r="J182" s="12">
        <f>E182+F182+G182+H182+I182</f>
        <v>1.3</v>
      </c>
      <c r="K182" s="14"/>
      <c r="L182" s="2">
        <f>J182*K182</f>
        <v>0</v>
      </c>
      <c r="M182" s="1"/>
    </row>
    <row r="183" spans="1:13" x14ac:dyDescent="0.2">
      <c r="A183" s="1">
        <v>179</v>
      </c>
      <c r="B183" s="1" t="s">
        <v>255</v>
      </c>
      <c r="C183" s="1" t="s">
        <v>262</v>
      </c>
      <c r="D183" s="1" t="s">
        <v>13</v>
      </c>
      <c r="E183" s="7">
        <v>0.96</v>
      </c>
      <c r="F183" s="8">
        <v>0</v>
      </c>
      <c r="G183" s="8">
        <v>0</v>
      </c>
      <c r="H183" s="8">
        <v>0</v>
      </c>
      <c r="I183" s="8">
        <f>(F183+G183+H183)*0.0825</f>
        <v>0</v>
      </c>
      <c r="J183" s="12">
        <f>E183+F183+G183+H183+I183</f>
        <v>0.96</v>
      </c>
      <c r="K183" s="14"/>
      <c r="L183" s="2">
        <f>J183*K183</f>
        <v>0</v>
      </c>
      <c r="M183" s="1"/>
    </row>
    <row r="184" spans="1:13" x14ac:dyDescent="0.2">
      <c r="A184" s="1">
        <v>180</v>
      </c>
      <c r="B184" s="1" t="s">
        <v>255</v>
      </c>
      <c r="C184" s="1" t="s">
        <v>263</v>
      </c>
      <c r="D184" s="1" t="s">
        <v>13</v>
      </c>
      <c r="E184" s="7">
        <v>0.59</v>
      </c>
      <c r="F184" s="11">
        <v>0</v>
      </c>
      <c r="G184" s="11">
        <v>0</v>
      </c>
      <c r="H184" s="11">
        <v>0</v>
      </c>
      <c r="I184" s="11">
        <f>(F184+G184+H184)*0.0825</f>
        <v>0</v>
      </c>
      <c r="J184" s="12">
        <f>E184+F184+G184+H184+I184</f>
        <v>0.59</v>
      </c>
      <c r="K184" s="14"/>
      <c r="L184" s="2">
        <f>J184*K184</f>
        <v>0</v>
      </c>
      <c r="M184" s="1"/>
    </row>
    <row r="185" spans="1:13" x14ac:dyDescent="0.2">
      <c r="A185" s="1">
        <v>181</v>
      </c>
      <c r="B185" s="1" t="s">
        <v>196</v>
      </c>
      <c r="C185" s="1" t="s">
        <v>202</v>
      </c>
      <c r="D185" s="1" t="s">
        <v>6</v>
      </c>
      <c r="E185" s="7">
        <v>29.45</v>
      </c>
      <c r="F185" s="9">
        <v>0</v>
      </c>
      <c r="G185" s="9">
        <v>0</v>
      </c>
      <c r="H185" s="9">
        <v>0</v>
      </c>
      <c r="I185" s="9">
        <f>(F185+G185+H185)*0.0825</f>
        <v>0</v>
      </c>
      <c r="J185" s="12">
        <f>E185+F185+G185+H185+I185</f>
        <v>29.45</v>
      </c>
      <c r="K185" s="14"/>
      <c r="L185" s="2">
        <f>J185*K185</f>
        <v>0</v>
      </c>
      <c r="M185" s="1"/>
    </row>
    <row r="186" spans="1:13" x14ac:dyDescent="0.2">
      <c r="A186" s="1">
        <v>182</v>
      </c>
      <c r="B186" s="1" t="s">
        <v>196</v>
      </c>
      <c r="C186" s="1" t="s">
        <v>203</v>
      </c>
      <c r="D186" s="1" t="s">
        <v>6</v>
      </c>
      <c r="E186" s="7">
        <v>17.440000000000001</v>
      </c>
      <c r="F186" s="11">
        <v>0</v>
      </c>
      <c r="G186" s="11">
        <v>0</v>
      </c>
      <c r="H186" s="11">
        <v>0</v>
      </c>
      <c r="I186" s="11">
        <f>(F186+G186+H186)*0.0825</f>
        <v>0</v>
      </c>
      <c r="J186" s="12">
        <f>E186+F186+G186+H186+I186</f>
        <v>17.440000000000001</v>
      </c>
      <c r="K186" s="14"/>
      <c r="L186" s="2">
        <f>J186*K186</f>
        <v>0</v>
      </c>
      <c r="M186" s="1"/>
    </row>
    <row r="187" spans="1:13" x14ac:dyDescent="0.2">
      <c r="A187" s="1">
        <v>183</v>
      </c>
      <c r="B187" s="1" t="s">
        <v>196</v>
      </c>
      <c r="C187" s="1" t="s">
        <v>204</v>
      </c>
      <c r="D187" s="1" t="s">
        <v>6</v>
      </c>
      <c r="E187" s="7">
        <v>27</v>
      </c>
      <c r="F187" s="8">
        <v>11</v>
      </c>
      <c r="G187" s="8">
        <v>0</v>
      </c>
      <c r="H187" s="8">
        <v>0</v>
      </c>
      <c r="I187" s="8">
        <f>(F187+G187+H187)*0.0825</f>
        <v>0.90750000000000008</v>
      </c>
      <c r="J187" s="12">
        <f>E187+F187+G187+H187+I187</f>
        <v>38.907499999999999</v>
      </c>
      <c r="K187" s="14"/>
      <c r="L187" s="2">
        <f>J187*K187</f>
        <v>0</v>
      </c>
      <c r="M187" s="1"/>
    </row>
    <row r="188" spans="1:13" x14ac:dyDescent="0.2">
      <c r="A188" s="1">
        <v>184</v>
      </c>
      <c r="B188" s="1" t="s">
        <v>192</v>
      </c>
      <c r="C188" s="1" t="s">
        <v>193</v>
      </c>
      <c r="D188" s="1" t="s">
        <v>6</v>
      </c>
      <c r="E188" s="7">
        <v>4.99</v>
      </c>
      <c r="F188" s="11">
        <v>0</v>
      </c>
      <c r="G188" s="11">
        <v>0</v>
      </c>
      <c r="H188" s="11">
        <v>0</v>
      </c>
      <c r="I188" s="11">
        <f>(F188+G188+H188)*0.0825</f>
        <v>0</v>
      </c>
      <c r="J188" s="12">
        <f>E188+F188+G188+H188+I188</f>
        <v>4.99</v>
      </c>
      <c r="K188" s="14"/>
      <c r="L188" s="2">
        <f>J188*K188</f>
        <v>0</v>
      </c>
      <c r="M188" s="1"/>
    </row>
    <row r="189" spans="1:13" x14ac:dyDescent="0.2">
      <c r="A189" s="1">
        <v>185</v>
      </c>
      <c r="B189" s="1" t="s">
        <v>24</v>
      </c>
      <c r="C189" s="21" t="s">
        <v>189</v>
      </c>
      <c r="D189" s="1" t="s">
        <v>25</v>
      </c>
      <c r="E189" s="7"/>
      <c r="F189" s="8">
        <v>0</v>
      </c>
      <c r="G189" s="8">
        <v>0</v>
      </c>
      <c r="H189" s="8">
        <v>4.87</v>
      </c>
      <c r="I189" s="8">
        <f>(F189+G189+H189)*0.0825</f>
        <v>0.40177500000000005</v>
      </c>
      <c r="J189" s="12">
        <f>E189+F189+G189+H189+I189</f>
        <v>5.2717749999999999</v>
      </c>
      <c r="K189" s="14"/>
      <c r="L189" s="2">
        <f>J189*K189</f>
        <v>0</v>
      </c>
      <c r="M189" s="1"/>
    </row>
    <row r="190" spans="1:13" x14ac:dyDescent="0.2">
      <c r="A190" s="1">
        <v>186</v>
      </c>
      <c r="B190" s="1" t="s">
        <v>255</v>
      </c>
      <c r="C190" s="1" t="s">
        <v>264</v>
      </c>
      <c r="D190" s="1" t="s">
        <v>13</v>
      </c>
      <c r="E190" s="7">
        <v>0.76</v>
      </c>
      <c r="F190" s="11">
        <v>0</v>
      </c>
      <c r="G190" s="11">
        <v>0</v>
      </c>
      <c r="H190" s="11">
        <v>0</v>
      </c>
      <c r="I190" s="11">
        <f>(F190+G190+H190)*0.0825</f>
        <v>0</v>
      </c>
      <c r="J190" s="12">
        <f>E190+F190+G190+H190+I190</f>
        <v>0.76</v>
      </c>
      <c r="K190" s="14"/>
      <c r="L190" s="2">
        <f>J190*K190</f>
        <v>0</v>
      </c>
      <c r="M190" s="1"/>
    </row>
    <row r="191" spans="1:13" x14ac:dyDescent="0.2">
      <c r="A191" s="1">
        <v>187</v>
      </c>
      <c r="B191" s="1" t="s">
        <v>12</v>
      </c>
      <c r="C191" s="1" t="s">
        <v>17</v>
      </c>
      <c r="D191" s="1" t="s">
        <v>13</v>
      </c>
      <c r="E191" s="7">
        <v>5.07</v>
      </c>
      <c r="F191" s="11">
        <v>0</v>
      </c>
      <c r="G191" s="11">
        <v>0</v>
      </c>
      <c r="H191" s="11">
        <v>0</v>
      </c>
      <c r="I191" s="11">
        <f>(F191+G191+H191)*0.0825</f>
        <v>0</v>
      </c>
      <c r="J191" s="12">
        <f>E191+F191+G191+H191+I191</f>
        <v>5.07</v>
      </c>
      <c r="K191" s="14"/>
      <c r="L191" s="2">
        <f>J191*K191</f>
        <v>0</v>
      </c>
      <c r="M191" s="1"/>
    </row>
    <row r="192" spans="1:13" x14ac:dyDescent="0.2">
      <c r="A192" s="1">
        <v>188</v>
      </c>
      <c r="B192" s="1" t="s">
        <v>12</v>
      </c>
      <c r="C192" s="1" t="s">
        <v>18</v>
      </c>
      <c r="D192" s="1" t="s">
        <v>9</v>
      </c>
      <c r="E192" s="7">
        <v>1</v>
      </c>
      <c r="F192" s="11">
        <v>0</v>
      </c>
      <c r="G192" s="11">
        <v>0</v>
      </c>
      <c r="H192" s="11">
        <v>0</v>
      </c>
      <c r="I192" s="11">
        <f>(F192+G192+H192)*0.0825</f>
        <v>0</v>
      </c>
      <c r="J192" s="12">
        <f>E192+F192+G192+H192+I192</f>
        <v>1</v>
      </c>
      <c r="K192" s="14"/>
      <c r="L192" s="2">
        <f>J192*K192</f>
        <v>0</v>
      </c>
      <c r="M192" s="1"/>
    </row>
    <row r="193" spans="1:13" x14ac:dyDescent="0.2">
      <c r="A193" s="1">
        <v>189</v>
      </c>
      <c r="B193" s="1" t="s">
        <v>196</v>
      </c>
      <c r="C193" s="1" t="s">
        <v>205</v>
      </c>
      <c r="D193" s="1" t="s">
        <v>6</v>
      </c>
      <c r="E193" s="7">
        <v>125</v>
      </c>
      <c r="F193" s="8">
        <v>0</v>
      </c>
      <c r="G193" s="8">
        <v>0</v>
      </c>
      <c r="H193" s="8">
        <v>10.56</v>
      </c>
      <c r="I193" s="8">
        <f>(F193+G193+H193)*0.0825</f>
        <v>0.87120000000000009</v>
      </c>
      <c r="J193" s="13">
        <f>E193+F193+G193+H193+I193</f>
        <v>136.43119999999999</v>
      </c>
      <c r="K193" s="14"/>
      <c r="L193" s="2">
        <f>J193*K193</f>
        <v>0</v>
      </c>
      <c r="M193" s="1"/>
    </row>
    <row r="194" spans="1:13" x14ac:dyDescent="0.2">
      <c r="A194" s="1">
        <v>190</v>
      </c>
      <c r="B194" s="1" t="s">
        <v>196</v>
      </c>
      <c r="C194" s="1" t="s">
        <v>206</v>
      </c>
      <c r="D194" s="1" t="s">
        <v>6</v>
      </c>
      <c r="E194" s="7">
        <v>242</v>
      </c>
      <c r="F194" s="11">
        <v>0</v>
      </c>
      <c r="G194" s="11">
        <v>0</v>
      </c>
      <c r="H194" s="11">
        <v>3.19</v>
      </c>
      <c r="I194" s="11">
        <f>(F194+G194+H194)*0.0825</f>
        <v>0.26317499999999999</v>
      </c>
      <c r="J194" s="12">
        <f>E194+F194+G194+H194+I194</f>
        <v>245.45317499999999</v>
      </c>
      <c r="K194" s="14"/>
      <c r="L194" s="2">
        <f>J194*K194</f>
        <v>0</v>
      </c>
      <c r="M194" s="1"/>
    </row>
    <row r="195" spans="1:13" x14ac:dyDescent="0.2">
      <c r="A195" s="1">
        <v>191</v>
      </c>
      <c r="B195" s="1" t="s">
        <v>196</v>
      </c>
      <c r="C195" s="1" t="s">
        <v>207</v>
      </c>
      <c r="D195" s="1" t="s">
        <v>6</v>
      </c>
      <c r="E195" s="7">
        <v>100</v>
      </c>
      <c r="F195" s="9">
        <v>0</v>
      </c>
      <c r="G195" s="9">
        <v>0</v>
      </c>
      <c r="H195" s="9">
        <v>10.56</v>
      </c>
      <c r="I195" s="9">
        <f>(F195+G195+H195)*0.0825</f>
        <v>0.87120000000000009</v>
      </c>
      <c r="J195" s="10">
        <f>E195+F195+G195+H195+I195</f>
        <v>111.4312</v>
      </c>
      <c r="K195" s="14"/>
      <c r="L195" s="2">
        <f>J195*K195</f>
        <v>0</v>
      </c>
      <c r="M195" s="1"/>
    </row>
    <row r="196" spans="1:13" x14ac:dyDescent="0.2">
      <c r="A196" s="1">
        <v>192</v>
      </c>
      <c r="B196" s="1" t="s">
        <v>196</v>
      </c>
      <c r="C196" s="1" t="s">
        <v>208</v>
      </c>
      <c r="D196" s="1" t="s">
        <v>6</v>
      </c>
      <c r="E196" s="7">
        <v>60</v>
      </c>
      <c r="F196" s="9">
        <v>0</v>
      </c>
      <c r="G196" s="9">
        <v>0</v>
      </c>
      <c r="H196" s="9">
        <v>0.57999999999999996</v>
      </c>
      <c r="I196" s="9">
        <f>(F196+G196+H196)*0.0825</f>
        <v>4.7849999999999997E-2</v>
      </c>
      <c r="J196" s="10">
        <f>E196+F196+G196+H196+I196</f>
        <v>60.627849999999995</v>
      </c>
      <c r="K196" s="14"/>
      <c r="L196" s="2">
        <f>J196*K196</f>
        <v>0</v>
      </c>
      <c r="M196" s="1"/>
    </row>
    <row r="197" spans="1:13" x14ac:dyDescent="0.2">
      <c r="A197" s="1">
        <v>193</v>
      </c>
      <c r="B197" s="1" t="s">
        <v>255</v>
      </c>
      <c r="C197" s="1" t="s">
        <v>265</v>
      </c>
      <c r="D197" s="1" t="s">
        <v>6</v>
      </c>
      <c r="E197" s="2">
        <v>15.4</v>
      </c>
      <c r="F197" s="11">
        <v>0</v>
      </c>
      <c r="G197" s="11">
        <v>0</v>
      </c>
      <c r="H197" s="11">
        <v>0.33</v>
      </c>
      <c r="I197" s="11">
        <f>(F197+G197+H197)*0.0825</f>
        <v>2.7225000000000003E-2</v>
      </c>
      <c r="J197" s="12">
        <f>E197+F197+G197+H197+I197</f>
        <v>15.757225</v>
      </c>
      <c r="K197" s="16"/>
      <c r="L197" s="2">
        <f>J197*K197</f>
        <v>0</v>
      </c>
      <c r="M197" s="1"/>
    </row>
    <row r="198" spans="1:13" x14ac:dyDescent="0.2">
      <c r="A198" s="1">
        <v>194</v>
      </c>
      <c r="B198" s="1" t="s">
        <v>255</v>
      </c>
      <c r="C198" s="1" t="s">
        <v>266</v>
      </c>
      <c r="D198" s="1" t="s">
        <v>6</v>
      </c>
      <c r="E198" s="2">
        <v>17.86</v>
      </c>
      <c r="F198" s="8">
        <v>0</v>
      </c>
      <c r="G198" s="8">
        <v>0</v>
      </c>
      <c r="H198" s="8">
        <v>0</v>
      </c>
      <c r="I198" s="8">
        <f>(F198+G198+H198)*0.0825</f>
        <v>0</v>
      </c>
      <c r="J198" s="13">
        <f>E198+F198+G198+H198+I198</f>
        <v>17.86</v>
      </c>
      <c r="K198" s="16"/>
      <c r="L198" s="2">
        <f>J198*K198</f>
        <v>0</v>
      </c>
      <c r="M198" s="1"/>
    </row>
    <row r="199" spans="1:13" x14ac:dyDescent="0.2">
      <c r="A199" s="1">
        <v>195</v>
      </c>
      <c r="B199" s="1" t="s">
        <v>196</v>
      </c>
      <c r="C199" s="1" t="s">
        <v>209</v>
      </c>
      <c r="D199" s="1" t="s">
        <v>6</v>
      </c>
      <c r="E199" s="7">
        <v>45.7</v>
      </c>
      <c r="F199" s="9">
        <v>0</v>
      </c>
      <c r="G199" s="9">
        <v>0</v>
      </c>
      <c r="H199" s="9">
        <v>0</v>
      </c>
      <c r="I199" s="9">
        <f>(F199+G199+H199)*0.0825</f>
        <v>0</v>
      </c>
      <c r="J199" s="10">
        <f>E199+F199+G199+H199+I199</f>
        <v>45.7</v>
      </c>
      <c r="K199" s="14"/>
      <c r="L199" s="2">
        <f>J199*K199</f>
        <v>0</v>
      </c>
      <c r="M199" s="1"/>
    </row>
    <row r="200" spans="1:13" x14ac:dyDescent="0.2">
      <c r="A200" s="1">
        <v>196</v>
      </c>
      <c r="B200" s="1" t="s">
        <v>196</v>
      </c>
      <c r="C200" s="1" t="s">
        <v>210</v>
      </c>
      <c r="D200" s="1" t="s">
        <v>6</v>
      </c>
      <c r="E200" s="7">
        <v>309</v>
      </c>
      <c r="F200" s="8">
        <v>0</v>
      </c>
      <c r="G200" s="8">
        <v>0</v>
      </c>
      <c r="H200" s="8">
        <v>0</v>
      </c>
      <c r="I200" s="8">
        <f>(F200+G200+H200)*0.0825</f>
        <v>0</v>
      </c>
      <c r="J200" s="13">
        <f>E200+F200+G200+H200+I200</f>
        <v>309</v>
      </c>
      <c r="K200" s="14"/>
      <c r="L200" s="2">
        <f>J200*K200</f>
        <v>0</v>
      </c>
      <c r="M200" s="1"/>
    </row>
    <row r="201" spans="1:13" x14ac:dyDescent="0.2">
      <c r="A201" s="1">
        <v>198</v>
      </c>
      <c r="B201" s="1" t="s">
        <v>196</v>
      </c>
      <c r="C201" s="1" t="s">
        <v>211</v>
      </c>
      <c r="D201" s="1" t="s">
        <v>6</v>
      </c>
      <c r="E201" s="7">
        <v>200</v>
      </c>
      <c r="F201" s="8">
        <v>0</v>
      </c>
      <c r="G201" s="8">
        <v>0</v>
      </c>
      <c r="H201" s="8">
        <v>0</v>
      </c>
      <c r="I201" s="8">
        <f>(F201+G201+H201)*0.0825</f>
        <v>0</v>
      </c>
      <c r="J201" s="10">
        <f>E201+F201+G201+H201+I201</f>
        <v>200</v>
      </c>
      <c r="K201" s="14"/>
      <c r="L201" s="2">
        <f>J201*K201</f>
        <v>0</v>
      </c>
      <c r="M201" s="1"/>
    </row>
    <row r="202" spans="1:13" x14ac:dyDescent="0.2">
      <c r="A202" s="1">
        <v>199</v>
      </c>
      <c r="B202" s="1" t="s">
        <v>196</v>
      </c>
      <c r="C202" s="1" t="s">
        <v>212</v>
      </c>
      <c r="D202" s="1" t="s">
        <v>6</v>
      </c>
      <c r="E202" s="7">
        <v>195</v>
      </c>
      <c r="F202" s="9">
        <v>0</v>
      </c>
      <c r="G202" s="9">
        <v>0</v>
      </c>
      <c r="H202" s="9">
        <v>0</v>
      </c>
      <c r="I202" s="9">
        <f>(F202+G202+H202)*0.0825</f>
        <v>0</v>
      </c>
      <c r="J202" s="10">
        <f>E202+F202+G202+H202+I202</f>
        <v>195</v>
      </c>
      <c r="K202" s="14"/>
      <c r="L202" s="2">
        <f>J202*K202</f>
        <v>0</v>
      </c>
      <c r="M202" s="1"/>
    </row>
    <row r="203" spans="1:13" x14ac:dyDescent="0.2">
      <c r="A203" s="1">
        <v>200</v>
      </c>
      <c r="B203" s="1" t="s">
        <v>196</v>
      </c>
      <c r="C203" s="1" t="s">
        <v>213</v>
      </c>
      <c r="D203" s="1" t="s">
        <v>6</v>
      </c>
      <c r="E203" s="7">
        <v>150</v>
      </c>
      <c r="F203" s="8">
        <v>0</v>
      </c>
      <c r="G203" s="8">
        <v>0</v>
      </c>
      <c r="H203" s="8">
        <v>0</v>
      </c>
      <c r="I203" s="8">
        <f>(F203+G203+H203)*0.0825</f>
        <v>0</v>
      </c>
      <c r="J203" s="10">
        <f>E203+F203+G203+H203+I203</f>
        <v>150</v>
      </c>
      <c r="K203" s="14"/>
      <c r="L203" s="2">
        <f>J203*K203</f>
        <v>0</v>
      </c>
      <c r="M203" s="1"/>
    </row>
    <row r="204" spans="1:13" x14ac:dyDescent="0.2">
      <c r="A204" s="1">
        <v>201</v>
      </c>
      <c r="B204" s="1" t="s">
        <v>196</v>
      </c>
      <c r="C204" s="1" t="s">
        <v>214</v>
      </c>
      <c r="D204" s="1" t="s">
        <v>6</v>
      </c>
      <c r="E204" s="7">
        <v>150</v>
      </c>
      <c r="F204" s="9">
        <v>0</v>
      </c>
      <c r="G204" s="9">
        <v>0</v>
      </c>
      <c r="H204" s="9">
        <v>0</v>
      </c>
      <c r="I204" s="9">
        <f>(F204+G204+H204)*0.0825</f>
        <v>0</v>
      </c>
      <c r="J204" s="10">
        <f>E204+F204+G204+H204+I204</f>
        <v>150</v>
      </c>
      <c r="K204" s="14"/>
      <c r="L204" s="2">
        <f>J204*K204</f>
        <v>0</v>
      </c>
      <c r="M204" s="1"/>
    </row>
    <row r="205" spans="1:13" x14ac:dyDescent="0.2">
      <c r="A205" s="1">
        <v>202</v>
      </c>
      <c r="B205" s="1" t="s">
        <v>196</v>
      </c>
      <c r="C205" s="1" t="s">
        <v>215</v>
      </c>
      <c r="D205" s="1" t="s">
        <v>6</v>
      </c>
      <c r="E205" s="7">
        <v>253</v>
      </c>
      <c r="F205" s="8">
        <v>0</v>
      </c>
      <c r="G205" s="8">
        <v>0</v>
      </c>
      <c r="H205" s="8">
        <v>0</v>
      </c>
      <c r="I205" s="8">
        <f>(F205+G205+H205)*0.0825</f>
        <v>0</v>
      </c>
      <c r="J205" s="10">
        <f>E205+F205+G205+H205+I205</f>
        <v>253</v>
      </c>
      <c r="K205" s="14"/>
      <c r="L205" s="2">
        <f>J205*K205</f>
        <v>0</v>
      </c>
      <c r="M205" s="1"/>
    </row>
    <row r="206" spans="1:13" x14ac:dyDescent="0.2">
      <c r="A206" s="1">
        <v>203</v>
      </c>
      <c r="B206" s="1" t="s">
        <v>196</v>
      </c>
      <c r="C206" s="1" t="s">
        <v>216</v>
      </c>
      <c r="D206" s="1" t="s">
        <v>6</v>
      </c>
      <c r="E206" s="7">
        <v>6.5</v>
      </c>
      <c r="F206" s="11">
        <v>0</v>
      </c>
      <c r="G206" s="11">
        <v>0</v>
      </c>
      <c r="H206" s="11">
        <v>0</v>
      </c>
      <c r="I206" s="11">
        <f>(F206+G206+H206)*0.0825</f>
        <v>0</v>
      </c>
      <c r="J206" s="10">
        <f>E206+F206+G206+H206+I206</f>
        <v>6.5</v>
      </c>
      <c r="K206" s="14"/>
      <c r="L206" s="2">
        <f>J206*K206</f>
        <v>0</v>
      </c>
      <c r="M206" s="1"/>
    </row>
    <row r="207" spans="1:13" x14ac:dyDescent="0.2">
      <c r="A207" s="1">
        <v>204</v>
      </c>
      <c r="B207" s="1" t="s">
        <v>196</v>
      </c>
      <c r="C207" s="1" t="s">
        <v>225</v>
      </c>
      <c r="D207" s="1" t="s">
        <v>6</v>
      </c>
      <c r="E207" s="2">
        <v>23</v>
      </c>
      <c r="F207" s="9">
        <v>0</v>
      </c>
      <c r="G207" s="9">
        <v>0</v>
      </c>
      <c r="H207" s="9">
        <v>0.18</v>
      </c>
      <c r="I207" s="9">
        <f>(F207+G207+H207)*0.0825</f>
        <v>1.485E-2</v>
      </c>
      <c r="J207" s="10">
        <f>E207+F207+G207+H207+I207</f>
        <v>23.194849999999999</v>
      </c>
      <c r="K207" s="14"/>
      <c r="L207" s="2">
        <f>J207*K207</f>
        <v>0</v>
      </c>
      <c r="M207" s="1"/>
    </row>
    <row r="208" spans="1:13" x14ac:dyDescent="0.2">
      <c r="A208" s="1">
        <v>205</v>
      </c>
      <c r="B208" s="1" t="s">
        <v>196</v>
      </c>
      <c r="C208" s="1" t="s">
        <v>218</v>
      </c>
      <c r="D208" s="1" t="s">
        <v>6</v>
      </c>
      <c r="E208" s="2">
        <v>55</v>
      </c>
      <c r="F208" s="11">
        <v>0</v>
      </c>
      <c r="G208" s="11">
        <v>0</v>
      </c>
      <c r="H208" s="11">
        <v>0.18</v>
      </c>
      <c r="I208" s="11">
        <f>(F208+G208+H208)*0.0825</f>
        <v>1.485E-2</v>
      </c>
      <c r="J208" s="12">
        <f>E208+F208+G208+H208+I208</f>
        <v>55.194850000000002</v>
      </c>
      <c r="K208" s="14"/>
      <c r="L208" s="2">
        <f>J208*K208</f>
        <v>0</v>
      </c>
      <c r="M208" s="1"/>
    </row>
    <row r="209" spans="1:13" x14ac:dyDescent="0.2">
      <c r="A209" s="1">
        <v>206</v>
      </c>
      <c r="B209" s="1" t="s">
        <v>196</v>
      </c>
      <c r="C209" s="1" t="s">
        <v>217</v>
      </c>
      <c r="D209" s="1" t="s">
        <v>6</v>
      </c>
      <c r="E209" s="2">
        <v>62</v>
      </c>
      <c r="F209" s="8">
        <v>0</v>
      </c>
      <c r="G209" s="8">
        <v>0</v>
      </c>
      <c r="H209" s="8">
        <v>0.18</v>
      </c>
      <c r="I209" s="8">
        <f>(F209+G209+H209)*0.0825</f>
        <v>1.485E-2</v>
      </c>
      <c r="J209" s="13">
        <f>E209+F209+G209+H209+I209</f>
        <v>62.194850000000002</v>
      </c>
      <c r="K209" s="14"/>
      <c r="L209" s="2">
        <f>J209*K209</f>
        <v>0</v>
      </c>
      <c r="M209" s="1"/>
    </row>
    <row r="210" spans="1:13" x14ac:dyDescent="0.2">
      <c r="A210" s="1">
        <v>207</v>
      </c>
      <c r="B210" s="1" t="s">
        <v>196</v>
      </c>
      <c r="C210" s="1" t="s">
        <v>219</v>
      </c>
      <c r="D210" s="1" t="s">
        <v>6</v>
      </c>
      <c r="E210" s="2">
        <v>30</v>
      </c>
      <c r="F210" s="11">
        <v>0</v>
      </c>
      <c r="G210" s="11">
        <v>0</v>
      </c>
      <c r="H210" s="11">
        <v>0.18</v>
      </c>
      <c r="I210" s="11">
        <f>(F210+G210+H210)*0.0825</f>
        <v>1.485E-2</v>
      </c>
      <c r="J210" s="12">
        <f>E210+F210+G210+H210+I210</f>
        <v>30.194849999999999</v>
      </c>
      <c r="K210" s="14"/>
      <c r="L210" s="2">
        <f>J210*K210</f>
        <v>0</v>
      </c>
      <c r="M210" s="1"/>
    </row>
    <row r="211" spans="1:13" x14ac:dyDescent="0.2">
      <c r="A211" s="1">
        <v>208</v>
      </c>
      <c r="B211" s="1" t="s">
        <v>196</v>
      </c>
      <c r="C211" s="1" t="s">
        <v>220</v>
      </c>
      <c r="D211" s="1" t="s">
        <v>6</v>
      </c>
      <c r="E211" s="2">
        <v>45</v>
      </c>
      <c r="F211" s="9">
        <v>0</v>
      </c>
      <c r="G211" s="9">
        <v>0</v>
      </c>
      <c r="H211" s="9">
        <v>0.18</v>
      </c>
      <c r="I211" s="9">
        <f>(F211+G211+H211)*0.0825</f>
        <v>1.485E-2</v>
      </c>
      <c r="J211" s="10">
        <f>E211+F211+G211+H211+I211</f>
        <v>45.194850000000002</v>
      </c>
      <c r="K211" s="14"/>
      <c r="L211" s="2">
        <f>J211*K211</f>
        <v>0</v>
      </c>
      <c r="M211" s="1"/>
    </row>
    <row r="212" spans="1:13" x14ac:dyDescent="0.2">
      <c r="A212" s="1">
        <v>209</v>
      </c>
      <c r="B212" s="1" t="s">
        <v>196</v>
      </c>
      <c r="C212" s="1" t="s">
        <v>221</v>
      </c>
      <c r="D212" s="1" t="s">
        <v>6</v>
      </c>
      <c r="E212" s="2">
        <v>27</v>
      </c>
      <c r="F212" s="11">
        <v>0</v>
      </c>
      <c r="G212" s="11">
        <v>0</v>
      </c>
      <c r="H212" s="11">
        <v>0.18</v>
      </c>
      <c r="I212" s="11">
        <f>(F212+G212+H212)*0.0825</f>
        <v>1.485E-2</v>
      </c>
      <c r="J212" s="12">
        <f>E212+F212+G212+H212+I212</f>
        <v>27.194849999999999</v>
      </c>
      <c r="K212" s="14"/>
      <c r="L212" s="2">
        <f>J212*K212</f>
        <v>0</v>
      </c>
      <c r="M212" s="1"/>
    </row>
    <row r="213" spans="1:13" x14ac:dyDescent="0.2">
      <c r="A213" s="1">
        <v>210</v>
      </c>
      <c r="B213" s="1" t="s">
        <v>196</v>
      </c>
      <c r="C213" s="1" t="s">
        <v>222</v>
      </c>
      <c r="D213" s="1" t="s">
        <v>6</v>
      </c>
      <c r="E213" s="2">
        <v>25</v>
      </c>
      <c r="F213" s="8">
        <v>0</v>
      </c>
      <c r="G213" s="8">
        <v>0</v>
      </c>
      <c r="H213" s="8">
        <v>0.18</v>
      </c>
      <c r="I213" s="8">
        <f>(F213+G213+H213)*0.0825</f>
        <v>1.485E-2</v>
      </c>
      <c r="J213" s="13">
        <f>E213+F213+G213+H213+I213</f>
        <v>25.194849999999999</v>
      </c>
      <c r="K213" s="14"/>
      <c r="L213" s="2">
        <f>J213*K213</f>
        <v>0</v>
      </c>
      <c r="M213" s="1"/>
    </row>
    <row r="214" spans="1:13" x14ac:dyDescent="0.2">
      <c r="A214" s="1">
        <v>211</v>
      </c>
      <c r="B214" s="1" t="s">
        <v>196</v>
      </c>
      <c r="C214" s="1" t="s">
        <v>223</v>
      </c>
      <c r="D214" s="1" t="s">
        <v>6</v>
      </c>
      <c r="E214" s="2">
        <v>35</v>
      </c>
      <c r="F214" s="11">
        <v>0</v>
      </c>
      <c r="G214" s="11">
        <v>0</v>
      </c>
      <c r="H214" s="11">
        <v>0.18</v>
      </c>
      <c r="I214" s="11">
        <f>(F214+G214+H214)*0.0825</f>
        <v>1.485E-2</v>
      </c>
      <c r="J214" s="12">
        <f>E214+F214+G214+H214+I214</f>
        <v>35.194850000000002</v>
      </c>
      <c r="K214" s="14"/>
      <c r="L214" s="2">
        <f>J214*K214</f>
        <v>0</v>
      </c>
      <c r="M214" s="1"/>
    </row>
    <row r="215" spans="1:13" x14ac:dyDescent="0.2">
      <c r="A215" s="1">
        <v>212</v>
      </c>
      <c r="B215" s="1" t="s">
        <v>196</v>
      </c>
      <c r="C215" s="1" t="s">
        <v>224</v>
      </c>
      <c r="D215" s="1" t="s">
        <v>6</v>
      </c>
      <c r="E215" s="2">
        <v>65</v>
      </c>
      <c r="F215" s="9">
        <v>0</v>
      </c>
      <c r="G215" s="9">
        <v>0</v>
      </c>
      <c r="H215" s="9">
        <v>0.18</v>
      </c>
      <c r="I215" s="9">
        <f>(F215+G215+H215)*0.0825</f>
        <v>1.485E-2</v>
      </c>
      <c r="J215" s="10">
        <f>E215+F215+G215+H215+I215</f>
        <v>65.194850000000002</v>
      </c>
      <c r="K215" s="14"/>
      <c r="L215" s="2">
        <f>J215*K215</f>
        <v>0</v>
      </c>
      <c r="M215" s="1"/>
    </row>
    <row r="216" spans="1:13" x14ac:dyDescent="0.2">
      <c r="A216" s="1">
        <v>213</v>
      </c>
      <c r="B216" s="1" t="s">
        <v>196</v>
      </c>
      <c r="C216" s="1" t="s">
        <v>226</v>
      </c>
      <c r="D216" s="1" t="s">
        <v>6</v>
      </c>
      <c r="E216" s="2">
        <v>52</v>
      </c>
      <c r="F216" s="11">
        <v>14</v>
      </c>
      <c r="G216" s="11">
        <v>0</v>
      </c>
      <c r="H216" s="11">
        <v>0</v>
      </c>
      <c r="I216" s="11">
        <f>(F216+G216+H216)*0.0825</f>
        <v>1.155</v>
      </c>
      <c r="J216" s="12">
        <f>E216+F216+G216+H216+I216</f>
        <v>67.155000000000001</v>
      </c>
      <c r="K216" s="14"/>
      <c r="L216" s="2">
        <f>J216*K216</f>
        <v>0</v>
      </c>
      <c r="M216" s="1"/>
    </row>
    <row r="217" spans="1:13" x14ac:dyDescent="0.2">
      <c r="A217" s="1">
        <v>214</v>
      </c>
      <c r="B217" s="1" t="s">
        <v>196</v>
      </c>
      <c r="C217" s="1" t="s">
        <v>227</v>
      </c>
      <c r="D217" s="1" t="s">
        <v>6</v>
      </c>
      <c r="E217" s="2">
        <v>66</v>
      </c>
      <c r="F217" s="8">
        <v>0</v>
      </c>
      <c r="G217" s="8">
        <v>0</v>
      </c>
      <c r="H217" s="8">
        <v>1.37</v>
      </c>
      <c r="I217" s="8">
        <f>(F217+G217+H217)*0.0825</f>
        <v>0.11302500000000001</v>
      </c>
      <c r="J217" s="13">
        <f>E217+F217+G217+H217+I217</f>
        <v>67.483024999999998</v>
      </c>
      <c r="K217" s="14"/>
      <c r="L217" s="2">
        <f>J217*K217</f>
        <v>0</v>
      </c>
      <c r="M217" s="1"/>
    </row>
    <row r="218" spans="1:13" x14ac:dyDescent="0.2">
      <c r="A218" s="1">
        <v>215</v>
      </c>
      <c r="B218" s="1" t="s">
        <v>196</v>
      </c>
      <c r="C218" s="1" t="s">
        <v>228</v>
      </c>
      <c r="D218" s="1" t="s">
        <v>6</v>
      </c>
      <c r="E218" s="2">
        <v>24</v>
      </c>
      <c r="F218" s="11">
        <v>0</v>
      </c>
      <c r="G218" s="11">
        <v>0</v>
      </c>
      <c r="H218" s="11">
        <v>0</v>
      </c>
      <c r="I218" s="11">
        <f>(F218+G218+H218)*0.0825</f>
        <v>0</v>
      </c>
      <c r="J218" s="12">
        <f>E218+F218+G218+H218+I218</f>
        <v>24</v>
      </c>
      <c r="K218" s="14"/>
      <c r="L218" s="2">
        <f>J218*K218</f>
        <v>0</v>
      </c>
      <c r="M218" s="1"/>
    </row>
    <row r="219" spans="1:13" x14ac:dyDescent="0.2">
      <c r="A219" s="1">
        <v>216</v>
      </c>
      <c r="B219" s="1" t="s">
        <v>196</v>
      </c>
      <c r="C219" s="1" t="s">
        <v>235</v>
      </c>
      <c r="D219" s="1" t="s">
        <v>6</v>
      </c>
      <c r="E219" s="2">
        <v>256</v>
      </c>
      <c r="F219" s="9">
        <v>0</v>
      </c>
      <c r="G219" s="9">
        <v>0</v>
      </c>
      <c r="H219" s="9">
        <v>1.37</v>
      </c>
      <c r="I219" s="9">
        <f>(F219+G219+H219)*0.0825</f>
        <v>0.11302500000000001</v>
      </c>
      <c r="J219" s="10">
        <f>E219+F219+G219+H219+I219</f>
        <v>257.483025</v>
      </c>
      <c r="K219" s="14"/>
      <c r="L219" s="2">
        <f>J219*K219</f>
        <v>0</v>
      </c>
      <c r="M219" s="1"/>
    </row>
    <row r="220" spans="1:13" x14ac:dyDescent="0.2">
      <c r="A220" s="1">
        <v>217</v>
      </c>
      <c r="B220" s="1" t="s">
        <v>196</v>
      </c>
      <c r="C220" s="1" t="s">
        <v>229</v>
      </c>
      <c r="D220" s="1" t="s">
        <v>6</v>
      </c>
      <c r="E220" s="2">
        <v>200</v>
      </c>
      <c r="F220" s="11">
        <v>0</v>
      </c>
      <c r="G220" s="11">
        <v>0</v>
      </c>
      <c r="H220" s="11">
        <v>0</v>
      </c>
      <c r="I220" s="11">
        <f>(F220+G220+H220)*0.0825</f>
        <v>0</v>
      </c>
      <c r="J220" s="12">
        <f>E220+F220+G220+H220+I220</f>
        <v>200</v>
      </c>
      <c r="K220" s="14"/>
      <c r="L220" s="2">
        <f>J220*K220</f>
        <v>0</v>
      </c>
      <c r="M220" s="1"/>
    </row>
    <row r="221" spans="1:13" x14ac:dyDescent="0.2">
      <c r="A221" s="1">
        <v>218</v>
      </c>
      <c r="B221" s="1" t="s">
        <v>196</v>
      </c>
      <c r="C221" s="1" t="s">
        <v>230</v>
      </c>
      <c r="D221" s="1" t="s">
        <v>6</v>
      </c>
      <c r="E221" s="2">
        <v>121</v>
      </c>
      <c r="F221" s="8">
        <v>0</v>
      </c>
      <c r="G221" s="8">
        <v>0</v>
      </c>
      <c r="H221" s="8">
        <v>1.37</v>
      </c>
      <c r="I221" s="8">
        <f>(F221+G221+H221)*0.0825</f>
        <v>0.11302500000000001</v>
      </c>
      <c r="J221" s="13">
        <f>E221+F221+G221+H221+I221</f>
        <v>122.483025</v>
      </c>
      <c r="K221" s="14"/>
      <c r="L221" s="2">
        <f>J221*K221</f>
        <v>0</v>
      </c>
      <c r="M221" s="1"/>
    </row>
    <row r="222" spans="1:13" x14ac:dyDescent="0.2">
      <c r="A222" s="1">
        <v>219</v>
      </c>
      <c r="B222" s="1" t="s">
        <v>196</v>
      </c>
      <c r="C222" s="1" t="s">
        <v>231</v>
      </c>
      <c r="D222" s="1" t="s">
        <v>6</v>
      </c>
      <c r="E222" s="2">
        <v>178</v>
      </c>
      <c r="F222" s="11">
        <v>0</v>
      </c>
      <c r="G222" s="11">
        <v>0</v>
      </c>
      <c r="H222" s="11">
        <v>1.37</v>
      </c>
      <c r="I222" s="11">
        <f>(F222+G222+H222)*0.0825</f>
        <v>0.11302500000000001</v>
      </c>
      <c r="J222" s="12">
        <f>E222+F222+G222+H222+I222</f>
        <v>179.483025</v>
      </c>
      <c r="K222" s="14"/>
      <c r="L222" s="2">
        <f>J222*K222</f>
        <v>0</v>
      </c>
      <c r="M222" s="1"/>
    </row>
    <row r="223" spans="1:13" x14ac:dyDescent="0.2">
      <c r="A223" s="1">
        <v>220</v>
      </c>
      <c r="B223" s="1" t="s">
        <v>196</v>
      </c>
      <c r="C223" s="1" t="s">
        <v>232</v>
      </c>
      <c r="D223" s="1" t="s">
        <v>6</v>
      </c>
      <c r="E223" s="2">
        <v>230</v>
      </c>
      <c r="F223" s="9">
        <v>0</v>
      </c>
      <c r="G223" s="9">
        <v>0</v>
      </c>
      <c r="H223" s="9">
        <v>1.37</v>
      </c>
      <c r="I223" s="9">
        <f>(F223+G223+H223)*0.0825</f>
        <v>0.11302500000000001</v>
      </c>
      <c r="J223" s="10">
        <f>E223+F223+G223+H223+I223</f>
        <v>231.483025</v>
      </c>
      <c r="K223" s="14"/>
      <c r="L223" s="2">
        <f>J223*K223</f>
        <v>0</v>
      </c>
      <c r="M223" s="1"/>
    </row>
    <row r="224" spans="1:13" x14ac:dyDescent="0.2">
      <c r="A224" s="1">
        <v>221</v>
      </c>
      <c r="B224" s="1" t="s">
        <v>196</v>
      </c>
      <c r="C224" s="1" t="s">
        <v>233</v>
      </c>
      <c r="D224" s="1" t="s">
        <v>6</v>
      </c>
      <c r="E224" s="2">
        <v>174</v>
      </c>
      <c r="F224" s="11">
        <v>0</v>
      </c>
      <c r="G224" s="11">
        <v>0</v>
      </c>
      <c r="H224" s="11">
        <v>0</v>
      </c>
      <c r="I224" s="11">
        <f>(F224+G224+H224)*0.0825</f>
        <v>0</v>
      </c>
      <c r="J224" s="12">
        <f>E224+F224+G224+H224+I224</f>
        <v>174</v>
      </c>
      <c r="K224" s="14"/>
      <c r="L224" s="2">
        <f>J224*K224</f>
        <v>0</v>
      </c>
      <c r="M224" s="1"/>
    </row>
    <row r="225" spans="1:13" x14ac:dyDescent="0.2">
      <c r="A225" s="1">
        <v>222</v>
      </c>
      <c r="B225" s="1" t="s">
        <v>196</v>
      </c>
      <c r="C225" s="1" t="s">
        <v>234</v>
      </c>
      <c r="D225" s="1" t="s">
        <v>6</v>
      </c>
      <c r="E225" s="2">
        <v>150</v>
      </c>
      <c r="F225" s="8">
        <v>0</v>
      </c>
      <c r="G225" s="8">
        <v>0</v>
      </c>
      <c r="H225" s="8">
        <v>1.37</v>
      </c>
      <c r="I225" s="8">
        <f>(F225+G225+H225)*0.0825</f>
        <v>0.11302500000000001</v>
      </c>
      <c r="J225" s="13">
        <f>E225+F225+G225+H225+I225</f>
        <v>151.483025</v>
      </c>
      <c r="K225" s="14"/>
      <c r="L225" s="2">
        <f>J225*K225</f>
        <v>0</v>
      </c>
      <c r="M225" s="1"/>
    </row>
    <row r="226" spans="1:13" x14ac:dyDescent="0.2">
      <c r="A226" s="1">
        <v>223</v>
      </c>
      <c r="B226" s="1" t="s">
        <v>7</v>
      </c>
      <c r="C226" s="1" t="s">
        <v>10</v>
      </c>
      <c r="D226" s="1" t="s">
        <v>11</v>
      </c>
      <c r="E226" s="7">
        <v>125</v>
      </c>
      <c r="F226" s="11">
        <v>0</v>
      </c>
      <c r="G226" s="11">
        <v>0</v>
      </c>
      <c r="H226" s="11">
        <v>0</v>
      </c>
      <c r="I226" s="11">
        <f>(F226+G226+H226)*0.0825</f>
        <v>0</v>
      </c>
      <c r="J226" s="12">
        <f>E226+F226+G226+H226+I226</f>
        <v>125</v>
      </c>
      <c r="K226" s="14"/>
      <c r="L226" s="2">
        <f>J226*K226</f>
        <v>0</v>
      </c>
      <c r="M226" s="1"/>
    </row>
    <row r="227" spans="1:13" x14ac:dyDescent="0.2">
      <c r="A227" s="1">
        <v>224</v>
      </c>
      <c r="B227" s="1" t="s">
        <v>24</v>
      </c>
      <c r="C227" s="1" t="s">
        <v>190</v>
      </c>
      <c r="D227" s="1" t="s">
        <v>25</v>
      </c>
      <c r="E227" s="7"/>
      <c r="F227" s="9">
        <v>0</v>
      </c>
      <c r="G227" s="9">
        <v>0</v>
      </c>
      <c r="H227" s="9">
        <v>4.22</v>
      </c>
      <c r="I227" s="9">
        <f>(F227+G227+H227)*0.0825</f>
        <v>0.34815000000000002</v>
      </c>
      <c r="J227" s="10">
        <f>E227+F227+G227+H227+I227</f>
        <v>4.5681500000000002</v>
      </c>
      <c r="K227" s="14"/>
      <c r="L227" s="2">
        <f>J227*K227</f>
        <v>0</v>
      </c>
      <c r="M227" s="1"/>
    </row>
    <row r="228" spans="1:13" x14ac:dyDescent="0.2">
      <c r="A228" s="1">
        <v>225</v>
      </c>
      <c r="B228" s="1" t="s">
        <v>24</v>
      </c>
      <c r="C228" s="1" t="s">
        <v>191</v>
      </c>
      <c r="D228" s="1" t="s">
        <v>25</v>
      </c>
      <c r="E228" s="7"/>
      <c r="F228" s="11">
        <v>0</v>
      </c>
      <c r="G228" s="11">
        <v>0</v>
      </c>
      <c r="H228" s="11">
        <v>1.32</v>
      </c>
      <c r="I228" s="11">
        <f>(F228+G228+H228)*0.0825</f>
        <v>0.10890000000000001</v>
      </c>
      <c r="J228" s="12">
        <f>E228+F228+G228+H228+I228</f>
        <v>1.4289000000000001</v>
      </c>
      <c r="K228" s="14"/>
      <c r="L228" s="2">
        <f>J228*K228</f>
        <v>0</v>
      </c>
      <c r="M228" s="1"/>
    </row>
    <row r="229" spans="1:13" x14ac:dyDescent="0.2">
      <c r="A229" s="1">
        <v>227</v>
      </c>
      <c r="B229" s="1" t="s">
        <v>12</v>
      </c>
      <c r="C229" s="1" t="s">
        <v>20</v>
      </c>
      <c r="D229" s="1" t="s">
        <v>6</v>
      </c>
      <c r="E229" s="7">
        <v>10.58</v>
      </c>
      <c r="F229" s="8">
        <v>0</v>
      </c>
      <c r="G229" s="8">
        <v>0</v>
      </c>
      <c r="H229" s="8">
        <v>0</v>
      </c>
      <c r="I229" s="8">
        <f>(F229+G229+H229)*0.0825</f>
        <v>0</v>
      </c>
      <c r="J229" s="13">
        <f>E229+F229+G229+H229+I229</f>
        <v>10.58</v>
      </c>
      <c r="K229" s="14"/>
      <c r="L229" s="2">
        <f>J229*K229</f>
        <v>0</v>
      </c>
      <c r="M229" s="1"/>
    </row>
    <row r="230" spans="1:13" x14ac:dyDescent="0.2">
      <c r="A230" s="1">
        <v>228</v>
      </c>
      <c r="B230" s="1" t="s">
        <v>12</v>
      </c>
      <c r="C230" s="1" t="s">
        <v>21</v>
      </c>
      <c r="D230" s="1" t="s">
        <v>6</v>
      </c>
      <c r="E230" s="7">
        <v>7.48</v>
      </c>
      <c r="F230" s="11">
        <v>0</v>
      </c>
      <c r="G230" s="11">
        <v>0</v>
      </c>
      <c r="H230" s="11">
        <v>0</v>
      </c>
      <c r="I230" s="11">
        <f>(F230+G230+H230)*0.0825</f>
        <v>0</v>
      </c>
      <c r="J230" s="12">
        <f>E230+F230+G230+H230+I230</f>
        <v>7.48</v>
      </c>
      <c r="K230" s="14"/>
      <c r="L230" s="2">
        <f>J230*K230</f>
        <v>0</v>
      </c>
      <c r="M230" s="1"/>
    </row>
    <row r="231" spans="1:13" x14ac:dyDescent="0.2">
      <c r="A231" s="1">
        <v>229</v>
      </c>
      <c r="B231" s="1" t="s">
        <v>12</v>
      </c>
      <c r="C231" s="1" t="s">
        <v>22</v>
      </c>
      <c r="D231" s="1" t="s">
        <v>6</v>
      </c>
      <c r="E231" s="7">
        <v>9.9</v>
      </c>
      <c r="F231" s="9">
        <v>0</v>
      </c>
      <c r="G231" s="9">
        <v>0</v>
      </c>
      <c r="H231" s="9">
        <v>0</v>
      </c>
      <c r="I231" s="9">
        <f>(F231+G231+H231)*0.0825</f>
        <v>0</v>
      </c>
      <c r="J231" s="10">
        <f>E231+F231+G231+H231+I231</f>
        <v>9.9</v>
      </c>
      <c r="K231" s="14"/>
      <c r="L231" s="2">
        <f>J231*K231</f>
        <v>0</v>
      </c>
      <c r="M231" s="1"/>
    </row>
    <row r="232" spans="1:13" x14ac:dyDescent="0.2">
      <c r="A232" s="1">
        <v>230</v>
      </c>
      <c r="B232" s="1" t="s">
        <v>12</v>
      </c>
      <c r="C232" s="1" t="s">
        <v>23</v>
      </c>
      <c r="D232" s="1" t="s">
        <v>6</v>
      </c>
      <c r="E232" s="7">
        <v>8.48</v>
      </c>
      <c r="F232" s="11">
        <v>0</v>
      </c>
      <c r="G232" s="11">
        <v>0</v>
      </c>
      <c r="H232" s="11">
        <v>0</v>
      </c>
      <c r="I232" s="11">
        <f>(F232+G232+H232)*0.0825</f>
        <v>0</v>
      </c>
      <c r="J232" s="12">
        <f>E232+F232+G232+H232+I232</f>
        <v>8.48</v>
      </c>
      <c r="K232" s="14"/>
      <c r="L232" s="2">
        <f>J232*K232</f>
        <v>0</v>
      </c>
      <c r="M232" s="1"/>
    </row>
    <row r="233" spans="1:13" x14ac:dyDescent="0.2">
      <c r="A233" s="1">
        <v>231</v>
      </c>
      <c r="B233" s="1" t="s">
        <v>12</v>
      </c>
      <c r="C233" s="1" t="s">
        <v>19</v>
      </c>
      <c r="D233" s="1" t="s">
        <v>6</v>
      </c>
      <c r="E233" s="7">
        <v>12.46</v>
      </c>
      <c r="F233" s="8">
        <v>0</v>
      </c>
      <c r="G233" s="8">
        <v>0</v>
      </c>
      <c r="H233" s="8">
        <v>0</v>
      </c>
      <c r="I233" s="8">
        <f>(F233+G233+H233)*0.0825</f>
        <v>0</v>
      </c>
      <c r="J233" s="13">
        <f>E233+F233+G233+H233+I233</f>
        <v>12.46</v>
      </c>
      <c r="K233" s="14"/>
      <c r="L233" s="2">
        <f>J233*K233</f>
        <v>0</v>
      </c>
      <c r="M233" s="1"/>
    </row>
    <row r="234" spans="1:13" x14ac:dyDescent="0.2">
      <c r="A234" s="1">
        <v>232</v>
      </c>
      <c r="B234" s="1" t="s">
        <v>196</v>
      </c>
      <c r="C234" s="1" t="s">
        <v>236</v>
      </c>
      <c r="D234" s="1" t="s">
        <v>6</v>
      </c>
      <c r="E234" s="2">
        <v>101.16</v>
      </c>
      <c r="F234" s="11">
        <v>0</v>
      </c>
      <c r="G234" s="11">
        <v>0</v>
      </c>
      <c r="H234" s="11">
        <v>10.4</v>
      </c>
      <c r="I234" s="11">
        <f>(F234+G234+H234)*0.0825</f>
        <v>0.8580000000000001</v>
      </c>
      <c r="J234" s="12">
        <f>E234+F234+G234+H234+I234</f>
        <v>112.41800000000001</v>
      </c>
      <c r="K234" s="15"/>
      <c r="L234" s="2">
        <f>J234*K234</f>
        <v>0</v>
      </c>
      <c r="M234" s="1"/>
    </row>
    <row r="235" spans="1:13" x14ac:dyDescent="0.2">
      <c r="A235" s="1">
        <v>233</v>
      </c>
      <c r="B235" s="1" t="s">
        <v>196</v>
      </c>
      <c r="C235" s="1" t="s">
        <v>244</v>
      </c>
      <c r="D235" s="1" t="s">
        <v>6</v>
      </c>
      <c r="E235" s="2">
        <v>14</v>
      </c>
      <c r="F235" s="8">
        <v>0</v>
      </c>
      <c r="G235" s="8">
        <v>0</v>
      </c>
      <c r="H235" s="8">
        <v>0</v>
      </c>
      <c r="I235" s="8">
        <f>(F235+G235+H235)*0.0825</f>
        <v>0</v>
      </c>
      <c r="J235" s="13">
        <f>E235+F235+G235+H235+I235</f>
        <v>14</v>
      </c>
      <c r="K235" s="15"/>
      <c r="L235" s="2">
        <f>J235*K235</f>
        <v>0</v>
      </c>
      <c r="M235" s="1"/>
    </row>
    <row r="236" spans="1:13" x14ac:dyDescent="0.2">
      <c r="A236" s="1">
        <v>234</v>
      </c>
      <c r="B236" s="1" t="s">
        <v>196</v>
      </c>
      <c r="C236" s="1" t="s">
        <v>238</v>
      </c>
      <c r="D236" s="1" t="s">
        <v>6</v>
      </c>
      <c r="E236" s="2">
        <v>21</v>
      </c>
      <c r="F236" s="11">
        <v>0</v>
      </c>
      <c r="G236" s="11">
        <v>0</v>
      </c>
      <c r="H236" s="11">
        <v>0</v>
      </c>
      <c r="I236" s="11">
        <f>(F236+G236+H236)*0.0825</f>
        <v>0</v>
      </c>
      <c r="J236" s="12">
        <f>E236+F236+G236+H236+I236</f>
        <v>21</v>
      </c>
      <c r="K236" s="15"/>
      <c r="L236" s="2">
        <f>J236*K236</f>
        <v>0</v>
      </c>
      <c r="M236" s="1"/>
    </row>
    <row r="237" spans="1:13" x14ac:dyDescent="0.2">
      <c r="A237" s="1">
        <v>235</v>
      </c>
      <c r="B237" s="1" t="s">
        <v>196</v>
      </c>
      <c r="C237" s="1" t="s">
        <v>237</v>
      </c>
      <c r="D237" s="1" t="s">
        <v>6</v>
      </c>
      <c r="E237" s="2">
        <v>26</v>
      </c>
      <c r="F237" s="9">
        <v>0</v>
      </c>
      <c r="G237" s="9">
        <v>0</v>
      </c>
      <c r="H237" s="9">
        <v>0</v>
      </c>
      <c r="I237" s="9">
        <f>(F237+G237+H237)*0.0825</f>
        <v>0</v>
      </c>
      <c r="J237" s="10">
        <f>E237+F237+G237+H237+I237</f>
        <v>26</v>
      </c>
      <c r="K237" s="15"/>
      <c r="L237" s="2">
        <f>J237*K237</f>
        <v>0</v>
      </c>
      <c r="M237" s="1"/>
    </row>
    <row r="238" spans="1:13" x14ac:dyDescent="0.2">
      <c r="A238" s="1">
        <v>236</v>
      </c>
      <c r="B238" s="1" t="s">
        <v>196</v>
      </c>
      <c r="C238" s="1" t="s">
        <v>239</v>
      </c>
      <c r="D238" s="1" t="s">
        <v>6</v>
      </c>
      <c r="E238" s="2">
        <v>17</v>
      </c>
      <c r="F238" s="11">
        <v>0</v>
      </c>
      <c r="G238" s="11">
        <v>0</v>
      </c>
      <c r="H238" s="11">
        <v>0</v>
      </c>
      <c r="I238" s="11">
        <f>(F238+G238+H238)*0.0825</f>
        <v>0</v>
      </c>
      <c r="J238" s="12">
        <f>E238+F238+G238+H238+I238</f>
        <v>17</v>
      </c>
      <c r="K238" s="15"/>
      <c r="L238" s="2">
        <f>J238*K238</f>
        <v>0</v>
      </c>
      <c r="M238" s="1"/>
    </row>
    <row r="239" spans="1:13" x14ac:dyDescent="0.2">
      <c r="A239" s="1">
        <v>237</v>
      </c>
      <c r="B239" s="1" t="s">
        <v>196</v>
      </c>
      <c r="C239" s="1" t="s">
        <v>240</v>
      </c>
      <c r="D239" s="1" t="s">
        <v>6</v>
      </c>
      <c r="E239" s="2">
        <v>20</v>
      </c>
      <c r="F239" s="8">
        <v>0</v>
      </c>
      <c r="G239" s="8">
        <v>0</v>
      </c>
      <c r="H239" s="8">
        <v>0</v>
      </c>
      <c r="I239" s="8">
        <f>(F239+G239+H239)*0.0825</f>
        <v>0</v>
      </c>
      <c r="J239" s="13">
        <f>E239+F239+G239+H239+I239</f>
        <v>20</v>
      </c>
      <c r="K239" s="15"/>
      <c r="L239" s="2">
        <f>J239*K239</f>
        <v>0</v>
      </c>
      <c r="M239" s="1"/>
    </row>
    <row r="240" spans="1:13" x14ac:dyDescent="0.2">
      <c r="A240" s="1">
        <v>238</v>
      </c>
      <c r="B240" s="1" t="s">
        <v>196</v>
      </c>
      <c r="C240" s="1" t="s">
        <v>241</v>
      </c>
      <c r="D240" s="1" t="s">
        <v>6</v>
      </c>
      <c r="E240" s="2">
        <v>15</v>
      </c>
      <c r="F240" s="11">
        <v>0</v>
      </c>
      <c r="G240" s="11">
        <v>0</v>
      </c>
      <c r="H240" s="11">
        <v>0</v>
      </c>
      <c r="I240" s="11">
        <f>(F240+G240+H240)*0.0825</f>
        <v>0</v>
      </c>
      <c r="J240" s="12">
        <f>E240+F240+G240+H240+I240</f>
        <v>15</v>
      </c>
      <c r="K240" s="15"/>
      <c r="L240" s="2">
        <f>J240*K240</f>
        <v>0</v>
      </c>
      <c r="M240" s="1"/>
    </row>
    <row r="241" spans="1:13" x14ac:dyDescent="0.2">
      <c r="A241" s="1">
        <v>239</v>
      </c>
      <c r="B241" s="1" t="s">
        <v>196</v>
      </c>
      <c r="C241" s="1" t="s">
        <v>242</v>
      </c>
      <c r="D241" s="1" t="s">
        <v>6</v>
      </c>
      <c r="E241" s="2">
        <v>19</v>
      </c>
      <c r="F241" s="9">
        <v>0</v>
      </c>
      <c r="G241" s="9">
        <v>0</v>
      </c>
      <c r="H241" s="9">
        <v>0</v>
      </c>
      <c r="I241" s="9">
        <f>(F241+G241+H241)*0.0825</f>
        <v>0</v>
      </c>
      <c r="J241" s="10">
        <f>E241+F241+G241+H241+I241</f>
        <v>19</v>
      </c>
      <c r="K241" s="15"/>
      <c r="L241" s="2">
        <f>J241*K241</f>
        <v>0</v>
      </c>
      <c r="M241" s="1"/>
    </row>
    <row r="242" spans="1:13" x14ac:dyDescent="0.2">
      <c r="A242" s="1">
        <v>240</v>
      </c>
      <c r="B242" s="1" t="s">
        <v>196</v>
      </c>
      <c r="C242" s="1" t="s">
        <v>243</v>
      </c>
      <c r="D242" s="1" t="s">
        <v>6</v>
      </c>
      <c r="E242" s="2">
        <v>23</v>
      </c>
      <c r="F242" s="11">
        <v>0</v>
      </c>
      <c r="G242" s="11">
        <v>0</v>
      </c>
      <c r="H242" s="11">
        <v>0</v>
      </c>
      <c r="I242" s="11">
        <f>(F242+G242+H242)*0.0825</f>
        <v>0</v>
      </c>
      <c r="J242" s="12">
        <f>E242+F242+G242+H242+I242</f>
        <v>23</v>
      </c>
      <c r="K242" s="15"/>
      <c r="L242" s="2">
        <f>J242*K242</f>
        <v>0</v>
      </c>
      <c r="M242" s="1"/>
    </row>
    <row r="243" spans="1:13" x14ac:dyDescent="0.2">
      <c r="A243" s="1">
        <v>241</v>
      </c>
      <c r="B243" s="1" t="s">
        <v>196</v>
      </c>
      <c r="C243" s="1" t="s">
        <v>245</v>
      </c>
      <c r="D243" s="1" t="s">
        <v>6</v>
      </c>
      <c r="E243" s="2">
        <v>4</v>
      </c>
      <c r="F243" s="8">
        <v>0</v>
      </c>
      <c r="G243" s="8">
        <v>0</v>
      </c>
      <c r="H243" s="8">
        <v>0</v>
      </c>
      <c r="I243" s="8">
        <f>(F243+G243+H243)*0.0825</f>
        <v>0</v>
      </c>
      <c r="J243" s="13">
        <f>E243+F243+G243+H243+I243</f>
        <v>4</v>
      </c>
      <c r="K243" s="15"/>
      <c r="L243" s="2">
        <f>J243*K243</f>
        <v>0</v>
      </c>
      <c r="M243" s="1"/>
    </row>
    <row r="244" spans="1:13" x14ac:dyDescent="0.2">
      <c r="A244" s="1">
        <v>242</v>
      </c>
      <c r="B244" s="1" t="s">
        <v>196</v>
      </c>
      <c r="C244" s="1" t="s">
        <v>253</v>
      </c>
      <c r="D244" s="1" t="s">
        <v>6</v>
      </c>
      <c r="E244" s="2">
        <v>7.42</v>
      </c>
      <c r="F244" s="11">
        <v>0</v>
      </c>
      <c r="G244" s="11">
        <v>0</v>
      </c>
      <c r="H244" s="11">
        <v>0</v>
      </c>
      <c r="I244" s="11">
        <f>(F244+G244+H244)*0.0825</f>
        <v>0</v>
      </c>
      <c r="J244" s="12">
        <f>E244+F244+G244+H244+I244</f>
        <v>7.42</v>
      </c>
      <c r="K244" s="15"/>
      <c r="L244" s="2">
        <f>J244*K244</f>
        <v>0</v>
      </c>
      <c r="M244" s="1"/>
    </row>
    <row r="245" spans="1:13" x14ac:dyDescent="0.2">
      <c r="A245" s="1">
        <v>243</v>
      </c>
      <c r="B245" s="1" t="s">
        <v>196</v>
      </c>
      <c r="C245" s="1" t="s">
        <v>247</v>
      </c>
      <c r="D245" s="1" t="s">
        <v>6</v>
      </c>
      <c r="E245" s="2">
        <v>13.04</v>
      </c>
      <c r="F245" s="9">
        <v>0</v>
      </c>
      <c r="G245" s="9">
        <v>0</v>
      </c>
      <c r="H245" s="9">
        <v>0</v>
      </c>
      <c r="I245" s="9">
        <f>(F245+G245+H245)*0.0825</f>
        <v>0</v>
      </c>
      <c r="J245" s="10">
        <f>E245+F245+G245+H245+I245</f>
        <v>13.04</v>
      </c>
      <c r="K245" s="15"/>
      <c r="L245" s="2">
        <f>J245*K245</f>
        <v>0</v>
      </c>
      <c r="M245" s="1"/>
    </row>
    <row r="246" spans="1:13" x14ac:dyDescent="0.2">
      <c r="A246" s="1">
        <v>244</v>
      </c>
      <c r="B246" s="1" t="s">
        <v>196</v>
      </c>
      <c r="C246" s="1" t="s">
        <v>246</v>
      </c>
      <c r="D246" s="1" t="s">
        <v>6</v>
      </c>
      <c r="E246" s="2">
        <v>16.690000000000001</v>
      </c>
      <c r="F246" s="11">
        <v>0</v>
      </c>
      <c r="G246" s="11">
        <v>0</v>
      </c>
      <c r="H246" s="11">
        <v>0</v>
      </c>
      <c r="I246" s="11">
        <f>(F246+G246+H246)*0.0825</f>
        <v>0</v>
      </c>
      <c r="J246" s="12">
        <f>E246+F246+G246+H246+I246</f>
        <v>16.690000000000001</v>
      </c>
      <c r="K246" s="15"/>
      <c r="L246" s="2">
        <f>J246*K246</f>
        <v>0</v>
      </c>
      <c r="M246" s="1"/>
    </row>
    <row r="247" spans="1:13" x14ac:dyDescent="0.2">
      <c r="A247" s="1">
        <v>245</v>
      </c>
      <c r="B247" s="1" t="s">
        <v>196</v>
      </c>
      <c r="C247" s="1" t="s">
        <v>248</v>
      </c>
      <c r="D247" s="1" t="s">
        <v>6</v>
      </c>
      <c r="E247" s="2">
        <v>8.84</v>
      </c>
      <c r="F247" s="8">
        <v>0</v>
      </c>
      <c r="G247" s="8">
        <v>0</v>
      </c>
      <c r="H247" s="8">
        <v>0</v>
      </c>
      <c r="I247" s="8">
        <f>(F247+G247+H247)*0.0825</f>
        <v>0</v>
      </c>
      <c r="J247" s="13">
        <f>E247+F247+G247+H247+I247</f>
        <v>8.84</v>
      </c>
      <c r="K247" s="15"/>
      <c r="L247" s="2">
        <f>J247*K247</f>
        <v>0</v>
      </c>
      <c r="M247" s="1"/>
    </row>
    <row r="248" spans="1:13" x14ac:dyDescent="0.2">
      <c r="A248" s="1">
        <v>246</v>
      </c>
      <c r="B248" s="1" t="s">
        <v>196</v>
      </c>
      <c r="C248" s="1" t="s">
        <v>249</v>
      </c>
      <c r="D248" s="1" t="s">
        <v>6</v>
      </c>
      <c r="E248" s="2">
        <v>11.04</v>
      </c>
      <c r="F248" s="11">
        <v>0</v>
      </c>
      <c r="G248" s="11">
        <v>0</v>
      </c>
      <c r="H248" s="11">
        <v>0</v>
      </c>
      <c r="I248" s="11">
        <f>(F248+G248+H248)*0.0825</f>
        <v>0</v>
      </c>
      <c r="J248" s="12">
        <f>E248+F248+G248+H248+I248</f>
        <v>11.04</v>
      </c>
      <c r="K248" s="15"/>
      <c r="L248" s="2">
        <f>J248*K248</f>
        <v>0</v>
      </c>
      <c r="M248" s="1"/>
    </row>
    <row r="249" spans="1:13" x14ac:dyDescent="0.2">
      <c r="A249" s="1">
        <v>247</v>
      </c>
      <c r="B249" s="1" t="s">
        <v>196</v>
      </c>
      <c r="C249" s="1" t="s">
        <v>250</v>
      </c>
      <c r="D249" s="1" t="s">
        <v>6</v>
      </c>
      <c r="E249" s="2">
        <v>8.44</v>
      </c>
      <c r="F249" s="9">
        <v>0</v>
      </c>
      <c r="G249" s="9">
        <v>0</v>
      </c>
      <c r="H249" s="9">
        <v>0</v>
      </c>
      <c r="I249" s="9">
        <f>(F249+G249+H249)*0.0825</f>
        <v>0</v>
      </c>
      <c r="J249" s="10">
        <f>E249+F249+G249+H249+I249</f>
        <v>8.44</v>
      </c>
      <c r="K249" s="15"/>
      <c r="L249" s="2">
        <f>J249*K249</f>
        <v>0</v>
      </c>
      <c r="M249" s="1"/>
    </row>
    <row r="250" spans="1:13" x14ac:dyDescent="0.2">
      <c r="A250" s="1">
        <v>248</v>
      </c>
      <c r="B250" s="1" t="s">
        <v>196</v>
      </c>
      <c r="C250" s="1" t="s">
        <v>251</v>
      </c>
      <c r="D250" s="1" t="s">
        <v>6</v>
      </c>
      <c r="E250" s="2">
        <v>10.32</v>
      </c>
      <c r="F250" s="11">
        <v>0</v>
      </c>
      <c r="G250" s="11">
        <v>0</v>
      </c>
      <c r="H250" s="11">
        <v>0</v>
      </c>
      <c r="I250" s="11">
        <f>(F250+G250+H250)*0.0825</f>
        <v>0</v>
      </c>
      <c r="J250" s="12">
        <f>E250+F250+G250+H250+I250</f>
        <v>10.32</v>
      </c>
      <c r="K250" s="15"/>
      <c r="L250" s="2">
        <f>J250*K250</f>
        <v>0</v>
      </c>
      <c r="M250" s="1"/>
    </row>
    <row r="251" spans="1:13" x14ac:dyDescent="0.2">
      <c r="A251" s="1">
        <v>249</v>
      </c>
      <c r="B251" s="1" t="s">
        <v>196</v>
      </c>
      <c r="C251" s="1" t="s">
        <v>252</v>
      </c>
      <c r="D251" s="1" t="s">
        <v>6</v>
      </c>
      <c r="E251" s="2">
        <v>14.84</v>
      </c>
      <c r="F251" s="8">
        <v>0</v>
      </c>
      <c r="G251" s="8">
        <v>0</v>
      </c>
      <c r="H251" s="8">
        <v>0</v>
      </c>
      <c r="I251" s="8">
        <f>(F251+G251+H251)*0.0825</f>
        <v>0</v>
      </c>
      <c r="J251" s="13">
        <f>E251+F251+G251+H251+I251</f>
        <v>14.84</v>
      </c>
      <c r="K251" s="15"/>
      <c r="L251" s="2">
        <f>J251*K251</f>
        <v>0</v>
      </c>
      <c r="M251" s="1"/>
    </row>
    <row r="252" spans="1:13" x14ac:dyDescent="0.2">
      <c r="A252" s="1">
        <v>250</v>
      </c>
      <c r="B252" s="1" t="s">
        <v>196</v>
      </c>
      <c r="C252" s="1" t="s">
        <v>254</v>
      </c>
      <c r="D252" s="1" t="s">
        <v>6</v>
      </c>
      <c r="E252" s="2">
        <v>300</v>
      </c>
      <c r="F252" s="11">
        <v>0</v>
      </c>
      <c r="G252" s="11">
        <v>0</v>
      </c>
      <c r="H252" s="11">
        <v>0</v>
      </c>
      <c r="I252" s="11">
        <f>(F252+G252+H252)*0.0825</f>
        <v>0</v>
      </c>
      <c r="J252" s="12">
        <f>E252+F252+G252+H252+I252</f>
        <v>300</v>
      </c>
      <c r="K252" s="15"/>
      <c r="L252" s="2">
        <f>J252*K252</f>
        <v>0</v>
      </c>
      <c r="M252" s="1"/>
    </row>
    <row r="253" spans="1:13" x14ac:dyDescent="0.2">
      <c r="A253" s="1">
        <v>251</v>
      </c>
      <c r="B253" s="1" t="s">
        <v>192</v>
      </c>
      <c r="C253" s="1" t="s">
        <v>194</v>
      </c>
      <c r="D253" s="1" t="s">
        <v>9</v>
      </c>
      <c r="E253" s="7">
        <v>1</v>
      </c>
      <c r="F253" s="9">
        <v>0</v>
      </c>
      <c r="G253" s="9">
        <v>0</v>
      </c>
      <c r="H253" s="9">
        <v>0</v>
      </c>
      <c r="I253" s="9">
        <f>(F253+G253+H253)*0.0825</f>
        <v>0</v>
      </c>
      <c r="J253" s="10">
        <f>E253+F253+G253+H253+I253</f>
        <v>1</v>
      </c>
      <c r="K253" s="14"/>
      <c r="L253" s="2">
        <f>J253*K253</f>
        <v>0</v>
      </c>
      <c r="M253" s="1"/>
    </row>
    <row r="254" spans="1:13" x14ac:dyDescent="0.2">
      <c r="A254" s="1">
        <v>252</v>
      </c>
      <c r="B254" s="1" t="s">
        <v>192</v>
      </c>
      <c r="C254" s="1" t="s">
        <v>195</v>
      </c>
      <c r="D254" s="1" t="s">
        <v>9</v>
      </c>
      <c r="E254" s="7">
        <v>1</v>
      </c>
      <c r="F254" s="11">
        <v>0</v>
      </c>
      <c r="G254" s="11">
        <v>0</v>
      </c>
      <c r="H254" s="11">
        <v>0</v>
      </c>
      <c r="I254" s="11">
        <f>(F254+G254+H254)*0.0825</f>
        <v>0</v>
      </c>
      <c r="J254" s="12">
        <f>E254+F254+G254+H254+I254</f>
        <v>1</v>
      </c>
      <c r="K254" s="17"/>
      <c r="L254" s="2">
        <f>J254*K254</f>
        <v>0</v>
      </c>
      <c r="M254" s="1"/>
    </row>
    <row r="255" spans="1:13" ht="13.5" thickBot="1" x14ac:dyDescent="0.25">
      <c r="A255" s="1">
        <v>253</v>
      </c>
      <c r="B255" s="1" t="s">
        <v>255</v>
      </c>
      <c r="C255" s="1" t="s">
        <v>267</v>
      </c>
      <c r="D255" s="1" t="s">
        <v>6</v>
      </c>
      <c r="E255" s="2">
        <v>175</v>
      </c>
      <c r="F255" s="8">
        <v>0</v>
      </c>
      <c r="G255" s="8">
        <v>0</v>
      </c>
      <c r="H255" s="8">
        <v>0</v>
      </c>
      <c r="I255" s="8">
        <f>(F255+G255+H255)*0.0825</f>
        <v>0</v>
      </c>
      <c r="J255" s="13">
        <f>E255+F255+G255+H255+I255</f>
        <v>175</v>
      </c>
      <c r="K255" s="18"/>
      <c r="L255" s="2">
        <f>J255*K255</f>
        <v>0</v>
      </c>
      <c r="M255" s="1"/>
    </row>
    <row r="256" spans="1:13" ht="13.5" thickBot="1" x14ac:dyDescent="0.25">
      <c r="J256" s="19" t="s">
        <v>276</v>
      </c>
      <c r="L256" s="20">
        <f>SUM(L5:L255)</f>
        <v>0</v>
      </c>
    </row>
  </sheetData>
  <autoFilter ref="A4:L256" xr:uid="{662C205F-4DDB-487D-ADD3-CE23F822DDEB}"/>
  <sortState xmlns:xlrd2="http://schemas.microsoft.com/office/spreadsheetml/2017/richdata2" ref="A5:M255">
    <sortCondition ref="C5:C255"/>
  </sortState>
  <mergeCells count="2">
    <mergeCell ref="A3:B3"/>
    <mergeCell ref="C3:K3"/>
  </mergeCells>
  <conditionalFormatting sqref="A5:D255">
    <cfRule type="expression" dxfId="1" priority="17">
      <formula>$C5&lt;&gt;""</formula>
    </cfRule>
  </conditionalFormatting>
  <conditionalFormatting sqref="E5:L255">
    <cfRule type="expression" dxfId="0" priority="2">
      <formula>$C5&lt;&gt;""</formula>
    </cfRule>
  </conditionalFormatting>
  <pageMargins left="0.7" right="0.7" top="0.75" bottom="0.75" header="0.3" footer="0.3"/>
  <pageSetup scale="57" orientation="portrait" r:id="rId1"/>
  <colBreaks count="1" manualBreakCount="1">
    <brk id="12" max="507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8AD6E-15E9-40DE-AC8C-04E30F519DBE}">
  <dimension ref="A1"/>
  <sheetViews>
    <sheetView workbookViewId="0">
      <selection sqref="A1:A1048576"/>
    </sheetView>
  </sheetViews>
  <sheetFormatPr defaultRowHeight="12.7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Rate Card</vt:lpstr>
      <vt:lpstr>Sheet1</vt:lpstr>
      <vt:lpstr>'Rate Card'!Print_Area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Gannon, Mark</dc:creator>
  <cp:lastModifiedBy>Austin Ballard</cp:lastModifiedBy>
  <cp:lastPrinted>2022-04-18T18:41:26Z</cp:lastPrinted>
  <dcterms:created xsi:type="dcterms:W3CDTF">2021-12-14T16:04:50Z</dcterms:created>
  <dcterms:modified xsi:type="dcterms:W3CDTF">2026-06-24T20:37:58Z</dcterms:modified>
</cp:coreProperties>
</file>